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8" windowHeight="12540"/>
  </bookViews>
  <sheets>
    <sheet name="Sheet1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Sheet1!$A$2:$BB$24</definedName>
  </definedNames>
  <calcPr calcId="144525"/>
</workbook>
</file>

<file path=xl/sharedStrings.xml><?xml version="1.0" encoding="utf-8"?>
<sst xmlns="http://schemas.openxmlformats.org/spreadsheetml/2006/main" count="97" uniqueCount="47">
  <si>
    <t>利润中心组</t>
  </si>
  <si>
    <t>单位</t>
  </si>
  <si>
    <t>营业收现率完成</t>
  </si>
  <si>
    <t>经营活动现金流入完成</t>
  </si>
  <si>
    <t>A5101</t>
  </si>
  <si>
    <t>成都</t>
  </si>
  <si>
    <t>A5103</t>
  </si>
  <si>
    <t>自贡</t>
  </si>
  <si>
    <t>A5104</t>
  </si>
  <si>
    <t>攀枝花</t>
  </si>
  <si>
    <t>A5105</t>
  </si>
  <si>
    <t>泸州</t>
  </si>
  <si>
    <t>A5106</t>
  </si>
  <si>
    <t>德阳</t>
  </si>
  <si>
    <t>A5107</t>
  </si>
  <si>
    <t>绵阳</t>
  </si>
  <si>
    <t>A5108</t>
  </si>
  <si>
    <t>广元</t>
  </si>
  <si>
    <t>A5109</t>
  </si>
  <si>
    <t>遂宁</t>
  </si>
  <si>
    <t>A5110</t>
  </si>
  <si>
    <t>内江</t>
  </si>
  <si>
    <t>A5111</t>
  </si>
  <si>
    <t>乐山</t>
  </si>
  <si>
    <t>A5113</t>
  </si>
  <si>
    <t>南充</t>
  </si>
  <si>
    <t>A5114</t>
  </si>
  <si>
    <t>眉山</t>
  </si>
  <si>
    <t>A5115</t>
  </si>
  <si>
    <t>宜宾</t>
  </si>
  <si>
    <t>A5116</t>
  </si>
  <si>
    <t>广安</t>
  </si>
  <si>
    <t>A5117</t>
  </si>
  <si>
    <t>达州</t>
  </si>
  <si>
    <t>A5118</t>
  </si>
  <si>
    <t>雅安</t>
  </si>
  <si>
    <t>A5119</t>
  </si>
  <si>
    <t>巴中</t>
  </si>
  <si>
    <t>A5120</t>
  </si>
  <si>
    <t>资阳</t>
  </si>
  <si>
    <t>A5132</t>
  </si>
  <si>
    <t>阿坝</t>
  </si>
  <si>
    <t>A5133</t>
  </si>
  <si>
    <t>甘孜</t>
  </si>
  <si>
    <t>A5134</t>
  </si>
  <si>
    <t>凉山</t>
  </si>
  <si>
    <t>市州合计</t>
  </si>
</sst>
</file>

<file path=xl/styles.xml><?xml version="1.0" encoding="utf-8"?>
<styleSheet xmlns="http://schemas.openxmlformats.org/spreadsheetml/2006/main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;[Red]\-#,##0\ "/>
    <numFmt numFmtId="177" formatCode="_([$€-2]* #,##0.00000_);_([$€-2]* \(#,##0.00000\);_([$€-2]* &quot;-&quot;??_)"/>
    <numFmt numFmtId="178" formatCode="#,##0_ "/>
    <numFmt numFmtId="179" formatCode="0.0%"/>
    <numFmt numFmtId="180" formatCode="_ * #,##0_ ;_ * \-#,##0_ ;_ * &quot;-&quot;??_ ;_ @_ "/>
  </numFmts>
  <fonts count="24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0"/>
      <name val="微软雅黑"/>
      <charset val="134"/>
    </font>
    <font>
      <sz val="10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10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14" borderId="11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177" fontId="0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177" fontId="23" fillId="0" borderId="0">
      <alignment vertical="center"/>
    </xf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77" fontId="2" fillId="2" borderId="1" xfId="51" applyFont="1" applyFill="1" applyBorder="1" applyAlignment="1">
      <alignment horizontal="center" vertical="center" wrapText="1"/>
    </xf>
    <xf numFmtId="176" fontId="3" fillId="0" borderId="1" xfId="41" applyNumberFormat="1" applyFont="1" applyBorder="1" applyAlignment="1">
      <alignment horizontal="center" wrapText="1"/>
    </xf>
    <xf numFmtId="179" fontId="3" fillId="0" borderId="1" xfId="11" applyNumberFormat="1" applyFont="1" applyFill="1" applyBorder="1" applyAlignment="1" applyProtection="1">
      <alignment horizontal="center" wrapText="1"/>
    </xf>
    <xf numFmtId="180" fontId="3" fillId="0" borderId="1" xfId="11" applyNumberFormat="1" applyFont="1" applyFill="1" applyBorder="1" applyAlignment="1" applyProtection="1">
      <alignment horizontal="center" wrapText="1"/>
    </xf>
    <xf numFmtId="176" fontId="3" fillId="0" borderId="2" xfId="41" applyNumberFormat="1" applyFont="1" applyBorder="1" applyAlignment="1">
      <alignment horizontal="center" wrapText="1"/>
    </xf>
    <xf numFmtId="177" fontId="2" fillId="0" borderId="0" xfId="51" applyFont="1" applyAlignment="1">
      <alignment horizontal="center" vertical="center"/>
    </xf>
    <xf numFmtId="177" fontId="2" fillId="0" borderId="0" xfId="51" applyFont="1" applyAlignment="1">
      <alignment vertical="center"/>
    </xf>
    <xf numFmtId="180" fontId="3" fillId="0" borderId="1" xfId="11" applyNumberFormat="1" applyFont="1" applyFill="1" applyBorder="1" applyAlignment="1" applyProtection="1">
      <alignment horizontal="center" vertical="center" wrapText="1"/>
    </xf>
    <xf numFmtId="179" fontId="3" fillId="0" borderId="1" xfId="19" applyNumberFormat="1" applyFont="1" applyFill="1" applyBorder="1" applyAlignment="1">
      <alignment horizontal="center" vertical="center"/>
    </xf>
    <xf numFmtId="178" fontId="3" fillId="0" borderId="1" xfId="51" applyNumberFormat="1" applyFont="1" applyFill="1" applyBorder="1" applyAlignment="1">
      <alignment horizontal="right" vertical="center"/>
    </xf>
    <xf numFmtId="178" fontId="3" fillId="0" borderId="1" xfId="51" applyNumberFormat="1" applyFont="1" applyFill="1" applyBorder="1" applyAlignment="1">
      <alignment horizontal="center" vertical="center"/>
    </xf>
    <xf numFmtId="179" fontId="3" fillId="0" borderId="1" xfId="19" applyNumberFormat="1" applyFont="1" applyFill="1" applyBorder="1" applyAlignment="1">
      <alignment horizontal="right" vertical="center"/>
    </xf>
    <xf numFmtId="178" fontId="3" fillId="0" borderId="1" xfId="51" applyNumberFormat="1" applyFont="1" applyBorder="1" applyAlignment="1">
      <alignment horizontal="right" vertical="center"/>
    </xf>
    <xf numFmtId="10" fontId="3" fillId="0" borderId="1" xfId="19" applyNumberFormat="1" applyFont="1" applyFill="1" applyBorder="1" applyAlignment="1">
      <alignment horizontal="center" vertical="center"/>
    </xf>
    <xf numFmtId="179" fontId="3" fillId="0" borderId="2" xfId="11" applyNumberFormat="1" applyFont="1" applyFill="1" applyBorder="1" applyAlignment="1" applyProtection="1">
      <alignment horizontal="center" wrapText="1"/>
    </xf>
    <xf numFmtId="180" fontId="3" fillId="0" borderId="2" xfId="11" applyNumberFormat="1" applyFont="1" applyFill="1" applyBorder="1" applyAlignment="1" applyProtection="1">
      <alignment horizontal="center" vertical="center" wrapText="1"/>
    </xf>
    <xf numFmtId="179" fontId="2" fillId="0" borderId="1" xfId="11" applyNumberFormat="1" applyFont="1" applyFill="1" applyBorder="1" applyAlignment="1" applyProtection="1">
      <alignment vertical="center"/>
    </xf>
    <xf numFmtId="180" fontId="2" fillId="0" borderId="1" xfId="11" applyNumberFormat="1" applyFont="1" applyFill="1" applyBorder="1" applyAlignment="1" applyProtection="1">
      <alignment horizontal="center" vertical="center"/>
    </xf>
    <xf numFmtId="176" fontId="3" fillId="0" borderId="1" xfId="41" applyNumberFormat="1" applyFont="1" applyFill="1" applyBorder="1" applyAlignment="1">
      <alignment horizontal="center" wrapText="1"/>
    </xf>
    <xf numFmtId="179" fontId="2" fillId="0" borderId="1" xfId="11" applyNumberFormat="1" applyFont="1" applyFill="1" applyBorder="1" applyAlignment="1" applyProtection="1">
      <alignment horizontal="center" vertical="center"/>
    </xf>
    <xf numFmtId="180" fontId="2" fillId="0" borderId="1" xfId="51" applyNumberFormat="1" applyFont="1" applyBorder="1" applyAlignment="1">
      <alignment horizontal="center" vertical="center"/>
    </xf>
    <xf numFmtId="178" fontId="2" fillId="0" borderId="1" xfId="51" applyNumberFormat="1" applyFont="1" applyBorder="1" applyAlignment="1">
      <alignment horizontal="right" vertical="center"/>
    </xf>
    <xf numFmtId="0" fontId="1" fillId="2" borderId="3" xfId="0" applyFont="1" applyFill="1" applyBorder="1" applyAlignment="1">
      <alignment horizontal="center"/>
    </xf>
    <xf numFmtId="177" fontId="2" fillId="2" borderId="4" xfId="51" applyFont="1" applyFill="1" applyBorder="1" applyAlignment="1">
      <alignment horizontal="center" vertical="center" wrapText="1"/>
    </xf>
    <xf numFmtId="177" fontId="2" fillId="3" borderId="1" xfId="51" applyFont="1" applyFill="1" applyBorder="1" applyAlignment="1">
      <alignment horizontal="center" vertical="center" wrapText="1"/>
    </xf>
    <xf numFmtId="10" fontId="3" fillId="0" borderId="1" xfId="19" applyNumberFormat="1" applyFont="1" applyFill="1" applyBorder="1" applyAlignment="1">
      <alignment horizontal="right" vertical="center"/>
    </xf>
    <xf numFmtId="179" fontId="2" fillId="0" borderId="1" xfId="19" applyNumberFormat="1" applyFont="1" applyFill="1" applyBorder="1" applyAlignment="1">
      <alignment horizontal="right" vertical="center"/>
    </xf>
    <xf numFmtId="10" fontId="2" fillId="0" borderId="1" xfId="19" applyNumberFormat="1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0" fontId="3" fillId="0" borderId="1" xfId="19" applyNumberFormat="1" applyFont="1" applyFill="1" applyBorder="1" applyAlignment="1">
      <alignment horizontal="right" vertical="center"/>
    </xf>
    <xf numFmtId="178" fontId="3" fillId="0" borderId="1" xfId="51" applyNumberFormat="1" applyFont="1" applyFill="1" applyBorder="1" applyAlignment="1">
      <alignment horizontal="right" vertical="center"/>
    </xf>
    <xf numFmtId="10" fontId="3" fillId="0" borderId="1" xfId="11" applyNumberFormat="1" applyFont="1" applyFill="1" applyBorder="1" applyAlignment="1" applyProtection="1">
      <alignment horizontal="right" vertical="center"/>
    </xf>
    <xf numFmtId="10" fontId="3" fillId="0" borderId="1" xfId="19" applyNumberFormat="1" applyFont="1" applyFill="1" applyBorder="1" applyAlignment="1">
      <alignment horizontal="right" vertical="center"/>
    </xf>
    <xf numFmtId="178" fontId="3" fillId="0" borderId="1" xfId="51" applyNumberFormat="1" applyFont="1" applyFill="1" applyBorder="1" applyAlignment="1">
      <alignment horizontal="right" vertical="center"/>
    </xf>
    <xf numFmtId="10" fontId="2" fillId="0" borderId="1" xfId="19" applyNumberFormat="1" applyFont="1" applyFill="1" applyBorder="1" applyAlignment="1">
      <alignment horizontal="right" vertical="center"/>
    </xf>
    <xf numFmtId="178" fontId="2" fillId="0" borderId="1" xfId="51" applyNumberFormat="1" applyFont="1" applyFill="1" applyBorder="1" applyAlignment="1">
      <alignment horizontal="right" vertical="center"/>
    </xf>
    <xf numFmtId="0" fontId="0" fillId="0" borderId="0" xfId="0" applyFill="1"/>
    <xf numFmtId="10" fontId="3" fillId="0" borderId="1" xfId="19" applyNumberFormat="1" applyFont="1" applyFill="1" applyBorder="1" applyAlignment="1">
      <alignment horizontal="center" vertical="center"/>
    </xf>
    <xf numFmtId="179" fontId="3" fillId="0" borderId="1" xfId="19" applyNumberFormat="1" applyFont="1" applyFill="1" applyBorder="1" applyAlignment="1">
      <alignment horizontal="center" vertical="center"/>
    </xf>
    <xf numFmtId="176" fontId="3" fillId="0" borderId="1" xfId="41" applyNumberFormat="1" applyFont="1" applyFill="1" applyBorder="1" applyAlignment="1">
      <alignment horizontal="center" wrapText="1"/>
    </xf>
    <xf numFmtId="179" fontId="2" fillId="0" borderId="1" xfId="11" applyNumberFormat="1" applyFont="1" applyFill="1" applyBorder="1" applyAlignment="1" applyProtection="1">
      <alignment horizontal="right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百分比 4" xfId="19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常规 3 2" xfId="41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4 3" xfId="51"/>
  </cellStyles>
  <dxfs count="1">
    <dxf>
      <font>
        <b val="1"/>
        <i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enyiling\Downloads\AI&#25968;&#25454;\standardized_table\standardized_final_0312\&#24066;&#24030;&#25968;&#25454;-&#24066;&#24030;&#24212;&#25910;&#36134;&#27454;&#24773;&#20917;&#34920;\&#24066;&#24030;&#25968;&#25454;-&#24066;&#24030;&#24212;&#25910;&#36134;&#27454;&#24773;&#20917;&#34920;_2025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enyiling\Downloads\AI&#25968;&#25454;\standardized_table\standardized_final_0312\&#24066;&#24030;&#25968;&#25454;-&#24066;&#24030;&#24212;&#25910;&#36134;&#27454;&#24773;&#20917;&#34920;\&#24066;&#24030;&#25968;&#25454;-&#24066;&#24030;&#24212;&#25910;&#36134;&#27454;&#24773;&#20917;&#34920;_2026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Wenyiling\Downloads\AI&#25968;&#25454;\standardized_table\standardized_final_0312\&#24066;&#24030;&#25968;&#25454;-&#24066;&#24030;&#24212;&#25910;&#36134;&#27454;&#24773;&#20917;&#34920;\&#24066;&#24030;&#25968;&#25454;-&#24066;&#24030;&#24212;&#25910;&#36134;&#27454;&#24773;&#20917;&#34920;_2026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2">
          <cell r="B2" t="str">
            <v>单位</v>
          </cell>
          <cell r="C2" t="str">
            <v>2024年收入完成（不含云及IDC直销收入）</v>
          </cell>
        </row>
        <row r="2">
          <cell r="E2" t="str">
            <v>2025年收入预算（不含云及IDC运营中心直销客户的IDC收入）</v>
          </cell>
        </row>
        <row r="2">
          <cell r="I2" t="str">
            <v>应收账款总额占收比</v>
          </cell>
        </row>
        <row r="2">
          <cell r="P2" t="str">
            <v>产数应收账款占产数收入比</v>
          </cell>
        </row>
        <row r="2">
          <cell r="W2" t="str">
            <v>分资源型/ICT应收占收比
（注：资源型应收=组网专线+IDC
ICT应收=产数应收+合同资产-资源应收
资源型收入=组网专线+IDC-云锦IDC收入
ICT应收=产数收入-组网专线-IDC）</v>
          </cell>
        </row>
        <row r="2">
          <cell r="AE2" t="str">
            <v>基础应收账款占基础收入比</v>
          </cell>
        </row>
        <row r="2">
          <cell r="AL2" t="str">
            <v>一年以上应收账款占应收总额比</v>
          </cell>
        </row>
        <row r="2">
          <cell r="AS2" t="str">
            <v>一年以上产数应收</v>
          </cell>
        </row>
        <row r="2">
          <cell r="AY2" t="str">
            <v>预收账款占收比</v>
          </cell>
        </row>
        <row r="2">
          <cell r="BF2" t="str">
            <v>营业收现率</v>
          </cell>
        </row>
        <row r="3">
          <cell r="C3" t="str">
            <v>收入完成</v>
          </cell>
          <cell r="D3" t="str">
            <v>产数收入完成</v>
          </cell>
          <cell r="E3" t="str">
            <v>收入</v>
          </cell>
          <cell r="F3" t="str">
            <v>产数收入</v>
          </cell>
          <cell r="G3" t="str">
            <v>收入同比</v>
          </cell>
          <cell r="H3" t="str">
            <v>产数收入同比</v>
          </cell>
          <cell r="I3" t="str">
            <v>202412
应收总额</v>
          </cell>
          <cell r="J3" t="str">
            <v>202512
应收总额</v>
          </cell>
          <cell r="K3" t="str">
            <v>应收总额同比增幅</v>
          </cell>
          <cell r="L3" t="str">
            <v>202412
占收比</v>
          </cell>
          <cell r="M3" t="str">
            <v>202512
占收比</v>
          </cell>
          <cell r="N3" t="str">
            <v>排名</v>
          </cell>
          <cell r="O3" t="str">
            <v>占收比同比</v>
          </cell>
          <cell r="P3" t="str">
            <v>202412
应收产数</v>
          </cell>
          <cell r="Q3" t="str">
            <v>202512
应收产数</v>
          </cell>
          <cell r="R3" t="str">
            <v>产数应收账款增幅</v>
          </cell>
          <cell r="S3" t="str">
            <v>202412
产数占收比</v>
          </cell>
          <cell r="T3" t="str">
            <v>202512
产数占收比</v>
          </cell>
          <cell r="U3" t="str">
            <v>排名</v>
          </cell>
          <cell r="V3" t="str">
            <v>产数占收比同比</v>
          </cell>
          <cell r="W3" t="str">
            <v>202512资源型应收账款总额</v>
          </cell>
          <cell r="X3" t="str">
            <v>202512产数ICT应收账款总额</v>
          </cell>
          <cell r="Y3" t="str">
            <v>202512资源型收入（剔除云锦IDC收入）</v>
          </cell>
          <cell r="Z3" t="str">
            <v>202512产数ICT收入</v>
          </cell>
          <cell r="AA3" t="str">
            <v>202512资源型应收占收比</v>
          </cell>
          <cell r="AB3" t="str">
            <v>排名</v>
          </cell>
          <cell r="AC3" t="str">
            <v>202512产数ICT应收占收比</v>
          </cell>
          <cell r="AD3" t="str">
            <v>排名</v>
          </cell>
          <cell r="AE3" t="str">
            <v>202412
基础应收</v>
          </cell>
          <cell r="AF3" t="str">
            <v>202512
基础应收</v>
          </cell>
          <cell r="AG3" t="str">
            <v>基础应收同比增幅</v>
          </cell>
          <cell r="AH3" t="str">
            <v>202412
基础占收比</v>
          </cell>
          <cell r="AI3" t="str">
            <v>202512
基础占收比</v>
          </cell>
          <cell r="AJ3" t="str">
            <v>排名</v>
          </cell>
          <cell r="AK3" t="str">
            <v>基础占收比同比</v>
          </cell>
          <cell r="AL3" t="str">
            <v>202412
一年以上应收</v>
          </cell>
          <cell r="AM3" t="str">
            <v>202512
一年以上应收</v>
          </cell>
          <cell r="AN3" t="str">
            <v>一年以上同比增幅</v>
          </cell>
          <cell r="AO3" t="str">
            <v>排名</v>
          </cell>
          <cell r="AP3" t="str">
            <v>202412
一年以上占应收总额比</v>
          </cell>
          <cell r="AQ3" t="str">
            <v>202512
一年以上占应收总额比</v>
          </cell>
          <cell r="AR3" t="str">
            <v>排名</v>
          </cell>
          <cell r="AS3" t="str">
            <v>202412一年以上产数应收</v>
          </cell>
          <cell r="AT3" t="str">
            <v>202512一年以上产数应收</v>
          </cell>
          <cell r="AU3" t="str">
            <v>202512一年以上产数应收账款结构占比</v>
          </cell>
          <cell r="AV3" t="str">
            <v>排名</v>
          </cell>
          <cell r="AW3" t="str">
            <v>202512一年以上产数应收同比增幅</v>
          </cell>
          <cell r="AX3" t="str">
            <v>排名</v>
          </cell>
          <cell r="AY3" t="str">
            <v>202412
预收账款总额</v>
          </cell>
          <cell r="AZ3" t="str">
            <v>202512
预收账款总额</v>
          </cell>
          <cell r="BA3" t="str">
            <v>同比增幅</v>
          </cell>
          <cell r="BB3" t="str">
            <v>202412
占收比</v>
          </cell>
          <cell r="BC3" t="str">
            <v>202512
占收比</v>
          </cell>
          <cell r="BD3" t="str">
            <v>排名</v>
          </cell>
          <cell r="BE3" t="str">
            <v>占收比同比</v>
          </cell>
          <cell r="BF3" t="str">
            <v>202412经营活动现金流入完成</v>
          </cell>
          <cell r="BG3" t="str">
            <v>202512经营活动现金流入完成</v>
          </cell>
          <cell r="BH3" t="str">
            <v>202412营业收现率</v>
          </cell>
          <cell r="BI3" t="str">
            <v>202512营业收现率</v>
          </cell>
          <cell r="BJ3" t="str">
            <v>排名</v>
          </cell>
        </row>
        <row r="5">
          <cell r="B5" t="str">
            <v>成都</v>
          </cell>
          <cell r="C5">
            <v>1022865.12213204</v>
          </cell>
          <cell r="D5">
            <v>196366.643824038</v>
          </cell>
          <cell r="E5">
            <v>1035002.11179498</v>
          </cell>
          <cell r="F5">
            <v>180143.506828979</v>
          </cell>
          <cell r="G5">
            <v>0.011865679453066</v>
          </cell>
          <cell r="H5">
            <v>-0.0826165619533447</v>
          </cell>
          <cell r="I5">
            <v>47796.33072</v>
          </cell>
          <cell r="J5">
            <v>65648.641436</v>
          </cell>
          <cell r="K5">
            <v>0.37350797534192</v>
          </cell>
          <cell r="L5">
            <v>0.0467278917677575</v>
          </cell>
          <cell r="M5">
            <v>0.0634285096502336</v>
          </cell>
          <cell r="N5">
            <v>3</v>
          </cell>
          <cell r="O5">
            <v>0.0167006178824761</v>
          </cell>
          <cell r="P5">
            <v>39848.969757</v>
          </cell>
          <cell r="Q5">
            <v>49949.913611</v>
          </cell>
          <cell r="R5">
            <v>0.253480677558185</v>
          </cell>
          <cell r="S5">
            <v>0.202931460155261</v>
          </cell>
          <cell r="T5">
            <v>0.277278456993848</v>
          </cell>
          <cell r="U5">
            <v>2</v>
          </cell>
          <cell r="V5">
            <v>0.0743469968385874</v>
          </cell>
          <cell r="W5">
            <v>5116.917289</v>
          </cell>
          <cell r="X5">
            <v>44832.996322</v>
          </cell>
          <cell r="Y5">
            <v>75593.7688999789</v>
          </cell>
          <cell r="Z5">
            <v>104549.737929</v>
          </cell>
          <cell r="AA5">
            <v>0.0676896702394928</v>
          </cell>
          <cell r="AB5">
            <v>1</v>
          </cell>
          <cell r="AC5">
            <v>0.428819786735823</v>
          </cell>
          <cell r="AD5">
            <v>3</v>
          </cell>
          <cell r="AE5">
            <v>20914.229091</v>
          </cell>
          <cell r="AF5">
            <v>15698.727825</v>
          </cell>
          <cell r="AG5">
            <v>-0.249375735692041</v>
          </cell>
          <cell r="AH5">
            <v>0.0253046189919374</v>
          </cell>
          <cell r="AI5">
            <v>0.0183641221294419</v>
          </cell>
          <cell r="AJ5">
            <v>5</v>
          </cell>
          <cell r="AK5">
            <v>-0.00694049686249543</v>
          </cell>
          <cell r="AL5">
            <v>6300</v>
          </cell>
          <cell r="AM5">
            <v>15814.297999</v>
          </cell>
          <cell r="AN5">
            <v>1.5102060315873</v>
          </cell>
          <cell r="AO5">
            <v>13</v>
          </cell>
          <cell r="AP5">
            <v>0.13180928127949</v>
          </cell>
          <cell r="AQ5">
            <v>0.240892997220927</v>
          </cell>
          <cell r="AR5">
            <v>17</v>
          </cell>
          <cell r="AS5">
            <v>5120.221656</v>
          </cell>
          <cell r="AT5">
            <v>9565.440423</v>
          </cell>
          <cell r="AU5">
            <v>0.191500639970947</v>
          </cell>
          <cell r="AV5">
            <v>15</v>
          </cell>
          <cell r="AW5">
            <v>0.868169205485662</v>
          </cell>
          <cell r="AX5">
            <v>9</v>
          </cell>
          <cell r="AY5">
            <v>105126.275582</v>
          </cell>
          <cell r="AZ5">
            <v>104859.488095</v>
          </cell>
          <cell r="BA5">
            <v>-0.00253778121143378</v>
          </cell>
          <cell r="BB5">
            <v>0.102776283311799</v>
          </cell>
          <cell r="BC5">
            <v>0.10131330834982</v>
          </cell>
          <cell r="BD5">
            <v>3</v>
          </cell>
          <cell r="BE5">
            <v>-0.00146297496197828</v>
          </cell>
          <cell r="BF5">
            <v>1075493.024249</v>
          </cell>
          <cell r="BG5">
            <v>1117224.67958598</v>
          </cell>
          <cell r="BH5">
            <v>1.05145145824042</v>
          </cell>
          <cell r="BI5">
            <v>1.0794419323922</v>
          </cell>
          <cell r="BJ5">
            <v>3</v>
          </cell>
        </row>
        <row r="6">
          <cell r="B6" t="str">
            <v>绵阳</v>
          </cell>
          <cell r="C6">
            <v>186112.877439</v>
          </cell>
          <cell r="D6">
            <v>22534.637712</v>
          </cell>
          <cell r="E6">
            <v>181679.31450566</v>
          </cell>
          <cell r="F6">
            <v>18516.33890666</v>
          </cell>
          <cell r="G6">
            <v>-0.0238219031071245</v>
          </cell>
          <cell r="H6">
            <v>-0.178316547915931</v>
          </cell>
          <cell r="I6">
            <v>8492.481932</v>
          </cell>
          <cell r="J6">
            <v>12485.355046</v>
          </cell>
          <cell r="K6">
            <v>0.470165629549908</v>
          </cell>
          <cell r="L6">
            <v>0.0456308131326564</v>
          </cell>
          <cell r="M6">
            <v>0.0687219405245556</v>
          </cell>
          <cell r="N6">
            <v>4</v>
          </cell>
          <cell r="O6">
            <v>0.0230911273918992</v>
          </cell>
          <cell r="P6">
            <v>4043.984935</v>
          </cell>
          <cell r="Q6">
            <v>7794.583435</v>
          </cell>
          <cell r="R6">
            <v>0.927451155304563</v>
          </cell>
          <cell r="S6">
            <v>0.179456398930546</v>
          </cell>
          <cell r="T6">
            <v>0.420957051731021</v>
          </cell>
          <cell r="U6">
            <v>5</v>
          </cell>
          <cell r="V6">
            <v>0.241500652800475</v>
          </cell>
          <cell r="W6">
            <v>1020.705739</v>
          </cell>
          <cell r="X6">
            <v>6773.877696</v>
          </cell>
          <cell r="Y6">
            <v>8170.11517065998</v>
          </cell>
          <cell r="Z6">
            <v>10346.223736</v>
          </cell>
          <cell r="AA6">
            <v>0.124931621853447</v>
          </cell>
          <cell r="AB6">
            <v>5</v>
          </cell>
          <cell r="AC6">
            <v>0.654719815542949</v>
          </cell>
          <cell r="AD6">
            <v>9</v>
          </cell>
          <cell r="AE6">
            <v>4953.996997</v>
          </cell>
          <cell r="AF6">
            <v>4690.771611</v>
          </cell>
          <cell r="AG6">
            <v>-0.0531339413728756</v>
          </cell>
          <cell r="AH6">
            <v>0.0302851834404616</v>
          </cell>
          <cell r="AI6">
            <v>0.028748995253239</v>
          </cell>
          <cell r="AJ6">
            <v>12</v>
          </cell>
          <cell r="AK6">
            <v>-0.00153618818722262</v>
          </cell>
          <cell r="AL6">
            <v>698.12151</v>
          </cell>
          <cell r="AM6">
            <v>1675.261508</v>
          </cell>
          <cell r="AN6">
            <v>1.39967037829847</v>
          </cell>
          <cell r="AO6">
            <v>12</v>
          </cell>
          <cell r="AP6">
            <v>0.0822046506062558</v>
          </cell>
          <cell r="AQ6">
            <v>0.134178123235407</v>
          </cell>
          <cell r="AR6">
            <v>6</v>
          </cell>
          <cell r="AS6">
            <v>316.434613</v>
          </cell>
          <cell r="AT6">
            <v>1055.006141</v>
          </cell>
          <cell r="AU6">
            <v>0.135351189681633</v>
          </cell>
          <cell r="AV6">
            <v>9</v>
          </cell>
          <cell r="AW6">
            <v>2.33404152914207</v>
          </cell>
          <cell r="AX6">
            <v>14</v>
          </cell>
          <cell r="AY6">
            <v>12652.486585</v>
          </cell>
          <cell r="AZ6">
            <v>13569.426589</v>
          </cell>
          <cell r="BA6">
            <v>0.0724711303062804</v>
          </cell>
          <cell r="BB6">
            <v>0.0679828648028235</v>
          </cell>
          <cell r="BC6">
            <v>0.0746888913904244</v>
          </cell>
          <cell r="BD6">
            <v>12</v>
          </cell>
          <cell r="BE6">
            <v>0.0067060265876009</v>
          </cell>
          <cell r="BF6">
            <v>184023.786981</v>
          </cell>
          <cell r="BG6">
            <v>188666.64345666</v>
          </cell>
          <cell r="BH6">
            <v>0.988775142877017</v>
          </cell>
          <cell r="BI6">
            <v>1.03845968359145</v>
          </cell>
          <cell r="BJ6">
            <v>13</v>
          </cell>
        </row>
        <row r="7">
          <cell r="B7" t="str">
            <v>南充</v>
          </cell>
          <cell r="C7">
            <v>182016.220024</v>
          </cell>
          <cell r="D7">
            <v>16400.826322</v>
          </cell>
          <cell r="E7">
            <v>179641.910012241</v>
          </cell>
          <cell r="F7">
            <v>12469.678737241</v>
          </cell>
          <cell r="G7">
            <v>-0.0130444968665208</v>
          </cell>
          <cell r="H7">
            <v>-0.239692044021329</v>
          </cell>
          <cell r="I7">
            <v>9361.386221</v>
          </cell>
          <cell r="J7">
            <v>16910.44903</v>
          </cell>
          <cell r="K7">
            <v>0.806404375461564</v>
          </cell>
          <cell r="L7">
            <v>0.0514316043908924</v>
          </cell>
          <cell r="M7">
            <v>0.0941342085978027</v>
          </cell>
          <cell r="N7">
            <v>11</v>
          </cell>
          <cell r="O7">
            <v>0.0427026042069103</v>
          </cell>
          <cell r="P7">
            <v>6204.277538</v>
          </cell>
          <cell r="Q7">
            <v>9703.428448</v>
          </cell>
          <cell r="R7">
            <v>0.563990067911756</v>
          </cell>
          <cell r="S7">
            <v>0.378290545621937</v>
          </cell>
          <cell r="T7">
            <v>0.778161863867469</v>
          </cell>
          <cell r="U7">
            <v>20</v>
          </cell>
          <cell r="V7">
            <v>0.399871318245532</v>
          </cell>
          <cell r="W7">
            <v>984.452773</v>
          </cell>
          <cell r="X7">
            <v>8718.975675</v>
          </cell>
          <cell r="Y7">
            <v>5627.91877524104</v>
          </cell>
          <cell r="Z7">
            <v>6841.759962</v>
          </cell>
          <cell r="AA7">
            <v>0.17492305989399</v>
          </cell>
          <cell r="AB7">
            <v>7</v>
          </cell>
          <cell r="AC7">
            <v>1.27437614348154</v>
          </cell>
          <cell r="AD7">
            <v>18</v>
          </cell>
          <cell r="AE7">
            <v>5797.68647</v>
          </cell>
          <cell r="AF7">
            <v>7207.020582</v>
          </cell>
          <cell r="AG7">
            <v>0.243085603075049</v>
          </cell>
          <cell r="AH7">
            <v>0.0350069298535863</v>
          </cell>
          <cell r="AI7">
            <v>0.0431113500551678</v>
          </cell>
          <cell r="AJ7">
            <v>17</v>
          </cell>
          <cell r="AK7">
            <v>0.00810442020158148</v>
          </cell>
          <cell r="AL7">
            <v>2864.932114</v>
          </cell>
          <cell r="AM7">
            <v>2929.769613</v>
          </cell>
          <cell r="AN7">
            <v>0.0226314259535714</v>
          </cell>
          <cell r="AO7">
            <v>4</v>
          </cell>
          <cell r="AP7">
            <v>0.306037166544119</v>
          </cell>
          <cell r="AQ7">
            <v>0.173252029428813</v>
          </cell>
          <cell r="AR7">
            <v>13</v>
          </cell>
          <cell r="AS7">
            <v>2574.05861</v>
          </cell>
          <cell r="AT7">
            <v>2420.843334</v>
          </cell>
          <cell r="AU7">
            <v>0.249483298297414</v>
          </cell>
          <cell r="AV7">
            <v>17</v>
          </cell>
          <cell r="AW7">
            <v>-0.0595228389146897</v>
          </cell>
          <cell r="AX7">
            <v>3</v>
          </cell>
          <cell r="AY7">
            <v>7938.027252</v>
          </cell>
          <cell r="AZ7">
            <v>9996.227752</v>
          </cell>
          <cell r="BA7">
            <v>0.259283627362382</v>
          </cell>
          <cell r="BB7">
            <v>0.04361164763752</v>
          </cell>
          <cell r="BC7">
            <v>0.0556452987575051</v>
          </cell>
          <cell r="BD7">
            <v>19</v>
          </cell>
          <cell r="BE7">
            <v>0.0120336511199851</v>
          </cell>
          <cell r="BF7">
            <v>175308.572968</v>
          </cell>
          <cell r="BG7">
            <v>189823.623607241</v>
          </cell>
          <cell r="BH7">
            <v>0.963148080675912</v>
          </cell>
          <cell r="BI7">
            <v>1.05667782976871</v>
          </cell>
          <cell r="BJ7">
            <v>9</v>
          </cell>
        </row>
        <row r="8">
          <cell r="B8" t="str">
            <v>泸州</v>
          </cell>
          <cell r="C8">
            <v>163512.150081</v>
          </cell>
          <cell r="D8">
            <v>16643.253659</v>
          </cell>
          <cell r="E8">
            <v>162553.548497828</v>
          </cell>
          <cell r="F8">
            <v>16331.3692348284</v>
          </cell>
          <cell r="G8">
            <v>-0.00586257096305776</v>
          </cell>
          <cell r="H8">
            <v>-0.0187393901794525</v>
          </cell>
          <cell r="I8">
            <v>8830.693923</v>
          </cell>
          <cell r="J8">
            <v>13588.012331</v>
          </cell>
          <cell r="K8">
            <v>0.538725319831244</v>
          </cell>
          <cell r="L8">
            <v>0.054006347042868</v>
          </cell>
          <cell r="M8">
            <v>0.083590991747446</v>
          </cell>
          <cell r="N8">
            <v>7</v>
          </cell>
          <cell r="O8">
            <v>0.029584644704578</v>
          </cell>
          <cell r="P8">
            <v>6070.839143</v>
          </cell>
          <cell r="Q8">
            <v>8880.287901</v>
          </cell>
          <cell r="R8">
            <v>0.4627776641454</v>
          </cell>
          <cell r="S8">
            <v>0.364762760178034</v>
          </cell>
          <cell r="T8">
            <v>0.543756483201778</v>
          </cell>
          <cell r="U8">
            <v>11</v>
          </cell>
          <cell r="V8">
            <v>0.178993723023744</v>
          </cell>
          <cell r="W8">
            <v>1601.082492</v>
          </cell>
          <cell r="X8">
            <v>7279.205409</v>
          </cell>
          <cell r="Y8">
            <v>5281.2143208284</v>
          </cell>
          <cell r="Z8">
            <v>11050.154914</v>
          </cell>
          <cell r="AA8">
            <v>0.303165596913109</v>
          </cell>
          <cell r="AB8">
            <v>15</v>
          </cell>
          <cell r="AC8">
            <v>0.658742385573039</v>
          </cell>
          <cell r="AD8">
            <v>10</v>
          </cell>
          <cell r="AE8">
            <v>4239.127552</v>
          </cell>
          <cell r="AF8">
            <v>4707.72443</v>
          </cell>
          <cell r="AG8">
            <v>0.110540877162075</v>
          </cell>
          <cell r="AH8">
            <v>0.0288633444879961</v>
          </cell>
          <cell r="AI8">
            <v>0.0321956932506973</v>
          </cell>
          <cell r="AJ8">
            <v>13</v>
          </cell>
          <cell r="AK8">
            <v>0.00333234876270118</v>
          </cell>
          <cell r="AL8">
            <v>1645.894722</v>
          </cell>
          <cell r="AM8">
            <v>2113.86365</v>
          </cell>
          <cell r="AN8">
            <v>0.284324946027745</v>
          </cell>
          <cell r="AO8">
            <v>5</v>
          </cell>
          <cell r="AP8">
            <v>0.186383395954103</v>
          </cell>
          <cell r="AQ8">
            <v>0.155568275808625</v>
          </cell>
          <cell r="AR8">
            <v>9</v>
          </cell>
          <cell r="AS8">
            <v>1048.692641</v>
          </cell>
          <cell r="AT8">
            <v>1091.912998</v>
          </cell>
          <cell r="AU8">
            <v>0.122959188955691</v>
          </cell>
          <cell r="AV8">
            <v>7</v>
          </cell>
          <cell r="AW8">
            <v>0.041213559922368</v>
          </cell>
          <cell r="AX8">
            <v>4</v>
          </cell>
          <cell r="AY8">
            <v>8174.097786</v>
          </cell>
          <cell r="AZ8">
            <v>11893.448371</v>
          </cell>
          <cell r="BA8">
            <v>0.45501664922216</v>
          </cell>
          <cell r="BB8">
            <v>0.04999076693659</v>
          </cell>
          <cell r="BC8">
            <v>0.0731663410667342</v>
          </cell>
          <cell r="BD8">
            <v>13</v>
          </cell>
          <cell r="BE8">
            <v>0.0231755741301442</v>
          </cell>
          <cell r="BF8">
            <v>161860.908678</v>
          </cell>
          <cell r="BG8">
            <v>170099.093004828</v>
          </cell>
          <cell r="BH8">
            <v>0.989901414652171</v>
          </cell>
          <cell r="BI8">
            <v>1.04641882368444</v>
          </cell>
          <cell r="BJ8">
            <v>11</v>
          </cell>
        </row>
        <row r="9">
          <cell r="B9" t="str">
            <v>凉山</v>
          </cell>
          <cell r="C9">
            <v>138671.019972</v>
          </cell>
          <cell r="D9">
            <v>20777.367592</v>
          </cell>
          <cell r="E9">
            <v>140988.952175012</v>
          </cell>
          <cell r="F9">
            <v>21848.2972250117</v>
          </cell>
          <cell r="G9">
            <v>0.0167153324716298</v>
          </cell>
          <cell r="H9">
            <v>0.0515430854399499</v>
          </cell>
          <cell r="I9">
            <v>7086.149818</v>
          </cell>
          <cell r="J9">
            <v>14171.424936</v>
          </cell>
          <cell r="K9">
            <v>0.999876562022753</v>
          </cell>
          <cell r="L9">
            <v>0.0511004377081153</v>
          </cell>
          <cell r="M9">
            <v>0.100514435474411</v>
          </cell>
          <cell r="N9">
            <v>14</v>
          </cell>
          <cell r="O9">
            <v>0.0494139977662952</v>
          </cell>
          <cell r="P9">
            <v>4614.46373</v>
          </cell>
          <cell r="Q9">
            <v>9386.570356</v>
          </cell>
          <cell r="R9">
            <v>1.0341627771338</v>
          </cell>
          <cell r="S9">
            <v>0.222090874099793</v>
          </cell>
          <cell r="T9">
            <v>0.429624801389756</v>
          </cell>
          <cell r="U9">
            <v>7</v>
          </cell>
          <cell r="V9">
            <v>0.207533927289962</v>
          </cell>
          <cell r="W9">
            <v>2049.714252</v>
          </cell>
          <cell r="X9">
            <v>7336.856104</v>
          </cell>
          <cell r="Y9">
            <v>9430.22023901175</v>
          </cell>
          <cell r="Z9">
            <v>12418.076986</v>
          </cell>
          <cell r="AA9">
            <v>0.217355925953942</v>
          </cell>
          <cell r="AB9">
            <v>10</v>
          </cell>
          <cell r="AC9">
            <v>0.590820632878302</v>
          </cell>
          <cell r="AD9">
            <v>6</v>
          </cell>
          <cell r="AE9">
            <v>2813.986088</v>
          </cell>
          <cell r="AF9">
            <v>4784.85458</v>
          </cell>
          <cell r="AG9">
            <v>0.700383168347775</v>
          </cell>
          <cell r="AH9">
            <v>0.0238688515555514</v>
          </cell>
          <cell r="AI9">
            <v>0.0401613922804777</v>
          </cell>
          <cell r="AJ9">
            <v>16</v>
          </cell>
          <cell r="AK9">
            <v>0.0162925407249263</v>
          </cell>
          <cell r="AL9">
            <v>826.754678</v>
          </cell>
          <cell r="AM9">
            <v>2225.915594</v>
          </cell>
          <cell r="AN9">
            <v>1.69235318920082</v>
          </cell>
          <cell r="AO9">
            <v>16</v>
          </cell>
          <cell r="AP9">
            <v>0.116671916235796</v>
          </cell>
          <cell r="AQ9">
            <v>0.157070697128378</v>
          </cell>
          <cell r="AR9">
            <v>10</v>
          </cell>
          <cell r="AS9">
            <v>181.484455</v>
          </cell>
          <cell r="AT9">
            <v>1809.440535</v>
          </cell>
          <cell r="AU9">
            <v>0.192769080332241</v>
          </cell>
          <cell r="AV9">
            <v>16</v>
          </cell>
          <cell r="AW9">
            <v>8.97022326237253</v>
          </cell>
          <cell r="AX9">
            <v>21</v>
          </cell>
          <cell r="AY9">
            <v>14870.445035</v>
          </cell>
          <cell r="AZ9">
            <v>13482.476572</v>
          </cell>
          <cell r="BA9">
            <v>-0.0933373856487275</v>
          </cell>
          <cell r="BB9">
            <v>0.107235419758235</v>
          </cell>
          <cell r="BC9">
            <v>0.0956278939874946</v>
          </cell>
          <cell r="BD9">
            <v>5</v>
          </cell>
          <cell r="BE9">
            <v>-0.0116075257707403</v>
          </cell>
          <cell r="BF9">
            <v>135962.548653</v>
          </cell>
          <cell r="BG9">
            <v>143456.887269012</v>
          </cell>
          <cell r="BH9">
            <v>0.980468368087674</v>
          </cell>
          <cell r="BI9">
            <v>1.01750445730625</v>
          </cell>
          <cell r="BJ9">
            <v>16</v>
          </cell>
        </row>
        <row r="10">
          <cell r="B10" t="str">
            <v>宜宾</v>
          </cell>
          <cell r="C10">
            <v>138807.86793383</v>
          </cell>
          <cell r="D10">
            <v>15780.5668588302</v>
          </cell>
          <cell r="E10">
            <v>140557.378816239</v>
          </cell>
          <cell r="F10">
            <v>15542.302543239</v>
          </cell>
          <cell r="G10">
            <v>0.0126038308090937</v>
          </cell>
          <cell r="H10">
            <v>-0.0150985904196386</v>
          </cell>
          <cell r="I10">
            <v>5731.039232</v>
          </cell>
          <cell r="J10">
            <v>12902.441263</v>
          </cell>
          <cell r="K10">
            <v>1.25132663391267</v>
          </cell>
          <cell r="L10">
            <v>0.0412875676091502</v>
          </cell>
          <cell r="M10">
            <v>0.0917948340504294</v>
          </cell>
          <cell r="N10">
            <v>10</v>
          </cell>
          <cell r="O10">
            <v>0.0505072664412792</v>
          </cell>
          <cell r="P10">
            <v>3266.071733</v>
          </cell>
          <cell r="Q10">
            <v>8639.51125</v>
          </cell>
          <cell r="R10">
            <v>1.6452300978902</v>
          </cell>
          <cell r="S10">
            <v>0.206967960163765</v>
          </cell>
          <cell r="T10">
            <v>0.555870742186668</v>
          </cell>
          <cell r="U10">
            <v>12</v>
          </cell>
          <cell r="V10">
            <v>0.348902782022903</v>
          </cell>
          <cell r="W10">
            <v>1593.391536</v>
          </cell>
          <cell r="X10">
            <v>7046.119714</v>
          </cell>
          <cell r="Y10">
            <v>5046.362241239</v>
          </cell>
          <cell r="Z10">
            <v>10495.940302</v>
          </cell>
          <cell r="AA10">
            <v>0.315750526781206</v>
          </cell>
          <cell r="AB10">
            <v>18</v>
          </cell>
          <cell r="AC10">
            <v>0.671318577589219</v>
          </cell>
          <cell r="AD10">
            <v>11</v>
          </cell>
          <cell r="AE10">
            <v>2609.99433</v>
          </cell>
          <cell r="AF10">
            <v>4262.930013</v>
          </cell>
          <cell r="AG10">
            <v>0.633310066616122</v>
          </cell>
          <cell r="AH10">
            <v>0.0212147572708995</v>
          </cell>
          <cell r="AI10">
            <v>0.0340993273778507</v>
          </cell>
          <cell r="AJ10">
            <v>14</v>
          </cell>
          <cell r="AK10">
            <v>0.0128845701069511</v>
          </cell>
          <cell r="AL10">
            <v>476.34727</v>
          </cell>
          <cell r="AM10">
            <v>1332.585134</v>
          </cell>
          <cell r="AN10">
            <v>1.79750765444714</v>
          </cell>
          <cell r="AO10">
            <v>17</v>
          </cell>
          <cell r="AP10">
            <v>0.0831170841302662</v>
          </cell>
          <cell r="AQ10">
            <v>0.103281627626659</v>
          </cell>
          <cell r="AR10">
            <v>2</v>
          </cell>
          <cell r="AS10">
            <v>202.429652</v>
          </cell>
          <cell r="AT10">
            <v>902.161108</v>
          </cell>
          <cell r="AU10">
            <v>0.104422701920783</v>
          </cell>
          <cell r="AV10">
            <v>2</v>
          </cell>
          <cell r="AW10">
            <v>3.45666481706939</v>
          </cell>
          <cell r="AX10">
            <v>18</v>
          </cell>
          <cell r="AY10">
            <v>9218.330716</v>
          </cell>
          <cell r="AZ10">
            <v>7908.825909</v>
          </cell>
          <cell r="BA10">
            <v>-0.142054439935327</v>
          </cell>
          <cell r="BB10">
            <v>0.066410721908029</v>
          </cell>
          <cell r="BC10">
            <v>0.0562675967324333</v>
          </cell>
          <cell r="BD10">
            <v>18</v>
          </cell>
          <cell r="BE10">
            <v>-0.0101431251755957</v>
          </cell>
          <cell r="BF10">
            <v>152540.923117</v>
          </cell>
          <cell r="BG10">
            <v>140566.969942239</v>
          </cell>
          <cell r="BH10">
            <v>1.09893571155287</v>
          </cell>
          <cell r="BI10">
            <v>1.00006823637493</v>
          </cell>
          <cell r="BJ10">
            <v>20</v>
          </cell>
        </row>
        <row r="11">
          <cell r="B11" t="str">
            <v>达州</v>
          </cell>
          <cell r="C11">
            <v>121838.879318</v>
          </cell>
          <cell r="D11">
            <v>15065.655602</v>
          </cell>
          <cell r="E11">
            <v>120354.808731422</v>
          </cell>
          <cell r="F11">
            <v>12304.329956422</v>
          </cell>
          <cell r="G11">
            <v>-0.0121805994513834</v>
          </cell>
          <cell r="H11">
            <v>-0.18328612564404</v>
          </cell>
          <cell r="I11">
            <v>7000.00143</v>
          </cell>
          <cell r="J11">
            <v>12750.041569</v>
          </cell>
          <cell r="K11">
            <v>0.821434137764169</v>
          </cell>
          <cell r="L11">
            <v>0.0574529367734085</v>
          </cell>
          <cell r="M11">
            <v>0.105937117954733</v>
          </cell>
          <cell r="N11">
            <v>16</v>
          </cell>
          <cell r="O11">
            <v>0.0484841811813247</v>
          </cell>
          <cell r="P11">
            <v>4486.777358</v>
          </cell>
          <cell r="Q11">
            <v>7580.214077</v>
          </cell>
          <cell r="R11">
            <v>0.689456256055217</v>
          </cell>
          <cell r="S11">
            <v>0.297814942577366</v>
          </cell>
          <cell r="T11">
            <v>0.616060696018937</v>
          </cell>
          <cell r="U11">
            <v>16</v>
          </cell>
          <cell r="V11">
            <v>0.318245753441572</v>
          </cell>
          <cell r="W11">
            <v>1810.828345</v>
          </cell>
          <cell r="X11">
            <v>5769.385732</v>
          </cell>
          <cell r="Y11">
            <v>6111.61089842201</v>
          </cell>
          <cell r="Z11">
            <v>6192.719058</v>
          </cell>
          <cell r="AA11">
            <v>0.296293133692059</v>
          </cell>
          <cell r="AB11">
            <v>14</v>
          </cell>
          <cell r="AC11">
            <v>0.93164015321297</v>
          </cell>
          <cell r="AD11">
            <v>16</v>
          </cell>
          <cell r="AE11">
            <v>4759.974672</v>
          </cell>
          <cell r="AF11">
            <v>5169.827492</v>
          </cell>
          <cell r="AG11">
            <v>0.0861039917735091</v>
          </cell>
          <cell r="AH11">
            <v>0.0445802281352934</v>
          </cell>
          <cell r="AI11">
            <v>0.0478464098503945</v>
          </cell>
          <cell r="AJ11">
            <v>18</v>
          </cell>
          <cell r="AK11">
            <v>0.00326618171510109</v>
          </cell>
          <cell r="AL11">
            <v>2069.331527</v>
          </cell>
          <cell r="AM11">
            <v>4332.746957</v>
          </cell>
          <cell r="AN11">
            <v>1.0937906277789</v>
          </cell>
          <cell r="AO11">
            <v>10</v>
          </cell>
          <cell r="AP11">
            <v>0.295618729180745</v>
          </cell>
          <cell r="AQ11">
            <v>0.339822182818171</v>
          </cell>
          <cell r="AR11">
            <v>19</v>
          </cell>
          <cell r="AS11">
            <v>1093.159681</v>
          </cell>
          <cell r="AT11">
            <v>3214.860309</v>
          </cell>
          <cell r="AU11">
            <v>0.424112073398372</v>
          </cell>
          <cell r="AV11">
            <v>21</v>
          </cell>
          <cell r="AW11">
            <v>1.94088811074619</v>
          </cell>
          <cell r="AX11">
            <v>12</v>
          </cell>
          <cell r="AY11">
            <v>6705.649928</v>
          </cell>
          <cell r="AZ11">
            <v>8197.225789</v>
          </cell>
          <cell r="BA11">
            <v>0.222435688861687</v>
          </cell>
          <cell r="BB11">
            <v>0.0550370289478634</v>
          </cell>
          <cell r="BC11">
            <v>0.0681088348309583</v>
          </cell>
          <cell r="BD11">
            <v>14</v>
          </cell>
          <cell r="BE11">
            <v>0.0130718058830949</v>
          </cell>
          <cell r="BF11">
            <v>118296.768687</v>
          </cell>
          <cell r="BG11">
            <v>125757.341779422</v>
          </cell>
          <cell r="BH11">
            <v>0.970927911920832</v>
          </cell>
          <cell r="BI11">
            <v>1.04488838547412</v>
          </cell>
          <cell r="BJ11">
            <v>12</v>
          </cell>
        </row>
        <row r="12">
          <cell r="B12" t="str">
            <v>乐山</v>
          </cell>
          <cell r="C12">
            <v>118805.110287</v>
          </cell>
          <cell r="D12">
            <v>16584.621945</v>
          </cell>
          <cell r="E12">
            <v>120556.022918018</v>
          </cell>
          <cell r="F12">
            <v>16066.6248020181</v>
          </cell>
          <cell r="G12">
            <v>0.014737687855247</v>
          </cell>
          <cell r="H12">
            <v>-0.0312335816095023</v>
          </cell>
          <cell r="I12">
            <v>8866.812906</v>
          </cell>
          <cell r="J12">
            <v>13095.459016</v>
          </cell>
          <cell r="K12">
            <v>0.476907109107779</v>
          </cell>
          <cell r="L12">
            <v>0.0746332618570047</v>
          </cell>
          <cell r="M12">
            <v>0.108625506208888</v>
          </cell>
          <cell r="N12">
            <v>18</v>
          </cell>
          <cell r="O12">
            <v>0.0339922443518832</v>
          </cell>
          <cell r="P12">
            <v>7638.37071</v>
          </cell>
          <cell r="Q12">
            <v>10777.342974</v>
          </cell>
          <cell r="R12">
            <v>0.4109478818422</v>
          </cell>
          <cell r="S12">
            <v>0.460569480289109</v>
          </cell>
          <cell r="T12">
            <v>0.670790729652582</v>
          </cell>
          <cell r="U12">
            <v>17</v>
          </cell>
          <cell r="V12">
            <v>0.210221249363474</v>
          </cell>
          <cell r="W12">
            <v>1358.298846</v>
          </cell>
          <cell r="X12">
            <v>9419.044128</v>
          </cell>
          <cell r="Y12">
            <v>5977.04166101815</v>
          </cell>
          <cell r="Z12">
            <v>10089.583141</v>
          </cell>
          <cell r="AA12">
            <v>0.227252698414122</v>
          </cell>
          <cell r="AB12">
            <v>12</v>
          </cell>
          <cell r="AC12">
            <v>0.933541455218779</v>
          </cell>
          <cell r="AD12">
            <v>17</v>
          </cell>
          <cell r="AE12">
            <v>2332.442196</v>
          </cell>
          <cell r="AF12">
            <v>2318.116042</v>
          </cell>
          <cell r="AG12">
            <v>-0.00614212606193132</v>
          </cell>
          <cell r="AH12">
            <v>0.0228177563405521</v>
          </cell>
          <cell r="AI12">
            <v>0.0221851793942436</v>
          </cell>
          <cell r="AJ12">
            <v>6</v>
          </cell>
          <cell r="AK12">
            <v>-0.000632576946308448</v>
          </cell>
          <cell r="AL12">
            <v>1030.657894</v>
          </cell>
          <cell r="AM12">
            <v>3297.288215</v>
          </cell>
          <cell r="AN12">
            <v>2.1992072580002</v>
          </cell>
          <cell r="AO12">
            <v>19</v>
          </cell>
          <cell r="AP12">
            <v>0.116237694978607</v>
          </cell>
          <cell r="AQ12">
            <v>0.251788670482751</v>
          </cell>
          <cell r="AR12">
            <v>18</v>
          </cell>
          <cell r="AS12">
            <v>696.259072</v>
          </cell>
          <cell r="AT12">
            <v>2845.818278</v>
          </cell>
          <cell r="AU12">
            <v>0.264055647562247</v>
          </cell>
          <cell r="AV12">
            <v>18</v>
          </cell>
          <cell r="AW12">
            <v>3.08729795049622</v>
          </cell>
          <cell r="AX12">
            <v>16</v>
          </cell>
          <cell r="AY12">
            <v>8442.549385</v>
          </cell>
          <cell r="AZ12">
            <v>7505.039112</v>
          </cell>
          <cell r="BA12">
            <v>-0.111045873734027</v>
          </cell>
          <cell r="BB12">
            <v>0.0710621737112583</v>
          </cell>
          <cell r="BC12">
            <v>0.0622535393117909</v>
          </cell>
          <cell r="BD12">
            <v>17</v>
          </cell>
          <cell r="BE12">
            <v>-0.00880863439946743</v>
          </cell>
          <cell r="BF12">
            <v>116901.18756</v>
          </cell>
          <cell r="BG12">
            <v>124954.248354018</v>
          </cell>
          <cell r="BH12">
            <v>0.983974403774378</v>
          </cell>
          <cell r="BI12">
            <v>1.03648283453238</v>
          </cell>
          <cell r="BJ12">
            <v>14</v>
          </cell>
        </row>
        <row r="13">
          <cell r="B13" t="str">
            <v>眉山</v>
          </cell>
          <cell r="C13">
            <v>119439.991179</v>
          </cell>
          <cell r="D13">
            <v>17531.070727</v>
          </cell>
          <cell r="E13">
            <v>120948.418683953</v>
          </cell>
          <cell r="F13">
            <v>19113.5978109531</v>
          </cell>
          <cell r="G13">
            <v>0.0126291662454359</v>
          </cell>
          <cell r="H13">
            <v>0.0902698476662818</v>
          </cell>
          <cell r="I13">
            <v>3290.821842</v>
          </cell>
          <cell r="J13">
            <v>11028.140933</v>
          </cell>
          <cell r="K13">
            <v>2.35118139555608</v>
          </cell>
          <cell r="L13">
            <v>0.027552093813103</v>
          </cell>
          <cell r="M13">
            <v>0.091180530121831</v>
          </cell>
          <cell r="N13">
            <v>9</v>
          </cell>
          <cell r="O13">
            <v>0.063628436308728</v>
          </cell>
          <cell r="P13">
            <v>1953.010843</v>
          </cell>
          <cell r="Q13">
            <v>8138.890381</v>
          </cell>
          <cell r="R13">
            <v>3.16735545026362</v>
          </cell>
          <cell r="S13">
            <v>0.111402827209642</v>
          </cell>
          <cell r="T13">
            <v>0.42581676466667</v>
          </cell>
          <cell r="U13">
            <v>6</v>
          </cell>
          <cell r="V13">
            <v>0.314413937457028</v>
          </cell>
          <cell r="W13">
            <v>607.297147</v>
          </cell>
          <cell r="X13">
            <v>7531.593234</v>
          </cell>
          <cell r="Y13">
            <v>5213.59669895311</v>
          </cell>
          <cell r="Z13">
            <v>13900.001112</v>
          </cell>
          <cell r="AA13">
            <v>0.11648333809977</v>
          </cell>
          <cell r="AB13">
            <v>3</v>
          </cell>
          <cell r="AC13">
            <v>0.541841196508819</v>
          </cell>
          <cell r="AD13">
            <v>5</v>
          </cell>
          <cell r="AE13">
            <v>2325.33319</v>
          </cell>
          <cell r="AF13">
            <v>2889.250552</v>
          </cell>
          <cell r="AG13">
            <v>0.242510348377215</v>
          </cell>
          <cell r="AH13">
            <v>0.022817759031166</v>
          </cell>
          <cell r="AI13">
            <v>0.0283719314005888</v>
          </cell>
          <cell r="AJ13">
            <v>11</v>
          </cell>
          <cell r="AK13">
            <v>0.00555417236942279</v>
          </cell>
          <cell r="AL13">
            <v>198.345805</v>
          </cell>
          <cell r="AM13">
            <v>697.490636</v>
          </cell>
          <cell r="AN13">
            <v>2.51653838103609</v>
          </cell>
          <cell r="AO13">
            <v>20</v>
          </cell>
          <cell r="AP13">
            <v>0.0602724226722207</v>
          </cell>
          <cell r="AQ13">
            <v>0.0632464383831791</v>
          </cell>
          <cell r="AR13">
            <v>1</v>
          </cell>
          <cell r="AS13">
            <v>100.987422</v>
          </cell>
          <cell r="AT13">
            <v>497.568315</v>
          </cell>
          <cell r="AU13">
            <v>0.061134662307476</v>
          </cell>
          <cell r="AV13">
            <v>1</v>
          </cell>
          <cell r="AW13">
            <v>3.92703254668685</v>
          </cell>
          <cell r="AX13">
            <v>19</v>
          </cell>
          <cell r="AY13">
            <v>10741.120023</v>
          </cell>
          <cell r="AZ13">
            <v>7556.030142</v>
          </cell>
          <cell r="BA13">
            <v>-0.296532379694087</v>
          </cell>
          <cell r="BB13">
            <v>0.0899290088434677</v>
          </cell>
          <cell r="BC13">
            <v>0.0624731619000696</v>
          </cell>
          <cell r="BD13">
            <v>16</v>
          </cell>
          <cell r="BE13">
            <v>-0.0274558469433981</v>
          </cell>
          <cell r="BF13">
            <v>122533.986305</v>
          </cell>
          <cell r="BG13">
            <v>118548.111701953</v>
          </cell>
          <cell r="BH13">
            <v>1.0259041807979</v>
          </cell>
          <cell r="BI13">
            <v>0.980154292151002</v>
          </cell>
          <cell r="BJ13">
            <v>21</v>
          </cell>
        </row>
        <row r="14">
          <cell r="B14" t="str">
            <v>德阳</v>
          </cell>
          <cell r="C14">
            <v>112625.500822</v>
          </cell>
          <cell r="D14">
            <v>16847.359523</v>
          </cell>
          <cell r="E14">
            <v>108454.177515746</v>
          </cell>
          <cell r="F14">
            <v>14837.5039077463</v>
          </cell>
          <cell r="G14">
            <v>-0.0370371121620724</v>
          </cell>
          <cell r="H14">
            <v>-0.119297959571044</v>
          </cell>
          <cell r="I14">
            <v>7986.370995</v>
          </cell>
          <cell r="J14">
            <v>11365.975255</v>
          </cell>
          <cell r="K14">
            <v>0.423171458240026</v>
          </cell>
          <cell r="L14">
            <v>0.070910858879306</v>
          </cell>
          <cell r="M14">
            <v>0.104799792090534</v>
          </cell>
          <cell r="N14">
            <v>15</v>
          </cell>
          <cell r="O14">
            <v>0.0338889332112276</v>
          </cell>
          <cell r="P14">
            <v>6107.708815</v>
          </cell>
          <cell r="Q14">
            <v>8838.402311</v>
          </cell>
          <cell r="R14">
            <v>0.447089666307217</v>
          </cell>
          <cell r="S14">
            <v>0.362532111139539</v>
          </cell>
          <cell r="T14">
            <v>0.595679864076442</v>
          </cell>
          <cell r="U14">
            <v>14</v>
          </cell>
          <cell r="V14">
            <v>0.233147752936904</v>
          </cell>
          <cell r="W14">
            <v>2329.368152</v>
          </cell>
          <cell r="X14">
            <v>6509.034159</v>
          </cell>
          <cell r="Y14">
            <v>7589.98897674634</v>
          </cell>
          <cell r="Z14">
            <v>7247.514931</v>
          </cell>
          <cell r="AA14">
            <v>0.306900070492401</v>
          </cell>
          <cell r="AB14">
            <v>16</v>
          </cell>
          <cell r="AC14">
            <v>0.898105657038211</v>
          </cell>
          <cell r="AD14">
            <v>15</v>
          </cell>
          <cell r="AE14">
            <v>2397.828856</v>
          </cell>
          <cell r="AF14">
            <v>2527.572944</v>
          </cell>
          <cell r="AG14">
            <v>0.0541089860001251</v>
          </cell>
          <cell r="AH14">
            <v>0.0250352410631405</v>
          </cell>
          <cell r="AI14">
            <v>0.0269991748968104</v>
          </cell>
          <cell r="AJ14">
            <v>9</v>
          </cell>
          <cell r="AK14">
            <v>0.0019639338336699</v>
          </cell>
          <cell r="AL14">
            <v>745.248893</v>
          </cell>
          <cell r="AM14">
            <v>1445.240569</v>
          </cell>
          <cell r="AN14">
            <v>0.939272345889952</v>
          </cell>
          <cell r="AO14">
            <v>9</v>
          </cell>
          <cell r="AP14">
            <v>0.0933150855960204</v>
          </cell>
          <cell r="AQ14">
            <v>0.127154998719905</v>
          </cell>
          <cell r="AR14">
            <v>5</v>
          </cell>
          <cell r="AS14">
            <v>515.044981</v>
          </cell>
          <cell r="AT14">
            <v>1120.167513</v>
          </cell>
          <cell r="AU14">
            <v>0.126738688009922</v>
          </cell>
          <cell r="AV14">
            <v>8</v>
          </cell>
          <cell r="AW14">
            <v>1.17489259059492</v>
          </cell>
          <cell r="AX14">
            <v>11</v>
          </cell>
          <cell r="AY14">
            <v>8556.935679</v>
          </cell>
          <cell r="AZ14">
            <v>9022.33236</v>
          </cell>
          <cell r="BA14">
            <v>0.0543882411249337</v>
          </cell>
          <cell r="BB14">
            <v>0.0759768934792475</v>
          </cell>
          <cell r="BC14">
            <v>0.0831902704595227</v>
          </cell>
          <cell r="BD14">
            <v>9</v>
          </cell>
          <cell r="BE14">
            <v>0.0072133769802752</v>
          </cell>
          <cell r="BF14">
            <v>112332.568461</v>
          </cell>
          <cell r="BG14">
            <v>113788.676838746</v>
          </cell>
          <cell r="BH14">
            <v>0.997399058305073</v>
          </cell>
          <cell r="BI14">
            <v>1.0491866652368</v>
          </cell>
          <cell r="BJ14">
            <v>10</v>
          </cell>
        </row>
        <row r="15">
          <cell r="B15" t="str">
            <v>内江</v>
          </cell>
          <cell r="C15">
            <v>86652.332642</v>
          </cell>
          <cell r="D15">
            <v>9254.438979</v>
          </cell>
          <cell r="E15">
            <v>87486.8093159926</v>
          </cell>
          <cell r="F15">
            <v>8336.97699699262</v>
          </cell>
          <cell r="G15">
            <v>0.00963016976634901</v>
          </cell>
          <cell r="H15">
            <v>-0.0991375040766131</v>
          </cell>
          <cell r="I15">
            <v>4842.636721</v>
          </cell>
          <cell r="J15">
            <v>6191.908646</v>
          </cell>
          <cell r="K15">
            <v>0.278623403475406</v>
          </cell>
          <cell r="L15">
            <v>0.0558858206507507</v>
          </cell>
          <cell r="M15">
            <v>0.0707753396701841</v>
          </cell>
          <cell r="N15">
            <v>5</v>
          </cell>
          <cell r="O15">
            <v>0.0148895190194334</v>
          </cell>
          <cell r="P15">
            <v>4238.896979</v>
          </cell>
          <cell r="Q15">
            <v>3991.007767</v>
          </cell>
          <cell r="R15">
            <v>-0.0584796500665321</v>
          </cell>
          <cell r="S15">
            <v>0.45803932454672</v>
          </cell>
          <cell r="T15">
            <v>0.478711620343881</v>
          </cell>
          <cell r="U15">
            <v>9</v>
          </cell>
          <cell r="V15">
            <v>0.0206722957971607</v>
          </cell>
          <cell r="W15">
            <v>475.014309</v>
          </cell>
          <cell r="X15">
            <v>3515.993458</v>
          </cell>
          <cell r="Y15">
            <v>3135.49682999262</v>
          </cell>
          <cell r="Z15">
            <v>5201.480167</v>
          </cell>
          <cell r="AA15">
            <v>0.151495706982143</v>
          </cell>
          <cell r="AB15">
            <v>6</v>
          </cell>
          <cell r="AC15">
            <v>0.675960177702241</v>
          </cell>
          <cell r="AD15">
            <v>12</v>
          </cell>
          <cell r="AE15">
            <v>2238.372342</v>
          </cell>
          <cell r="AF15">
            <v>2200.900879</v>
          </cell>
          <cell r="AG15">
            <v>-0.0167404958937794</v>
          </cell>
          <cell r="AH15">
            <v>0.0289203263301473</v>
          </cell>
          <cell r="AI15">
            <v>0.0278067661612932</v>
          </cell>
          <cell r="AJ15">
            <v>10</v>
          </cell>
          <cell r="AK15">
            <v>-0.0011135601688541</v>
          </cell>
          <cell r="AL15">
            <v>1755.015226</v>
          </cell>
          <cell r="AM15">
            <v>977.283538</v>
          </cell>
          <cell r="AN15">
            <v>-0.443148114317271</v>
          </cell>
          <cell r="AO15">
            <v>2</v>
          </cell>
          <cell r="AP15">
            <v>0.362409019530499</v>
          </cell>
          <cell r="AQ15">
            <v>0.157832357334815</v>
          </cell>
          <cell r="AR15">
            <v>11</v>
          </cell>
          <cell r="AS15">
            <v>1510.45549</v>
          </cell>
          <cell r="AT15">
            <v>721.19031</v>
          </cell>
          <cell r="AU15">
            <v>0.180703810191307</v>
          </cell>
          <cell r="AV15">
            <v>14</v>
          </cell>
          <cell r="AW15">
            <v>-0.52253455015745</v>
          </cell>
          <cell r="AX15">
            <v>1</v>
          </cell>
          <cell r="AY15">
            <v>4456.549274</v>
          </cell>
          <cell r="AZ15">
            <v>5539.072903</v>
          </cell>
          <cell r="BA15">
            <v>0.242906240331631</v>
          </cell>
          <cell r="BB15">
            <v>0.0514302285711341</v>
          </cell>
          <cell r="BC15">
            <v>0.0633132348328476</v>
          </cell>
          <cell r="BD15">
            <v>15</v>
          </cell>
          <cell r="BE15">
            <v>0.0118830062617136</v>
          </cell>
          <cell r="BF15">
            <v>85392.157138</v>
          </cell>
          <cell r="BG15">
            <v>93158.8287209926</v>
          </cell>
          <cell r="BH15">
            <v>0.985457108128799</v>
          </cell>
          <cell r="BI15">
            <v>1.06483285251052</v>
          </cell>
          <cell r="BJ15">
            <v>5</v>
          </cell>
        </row>
        <row r="16">
          <cell r="B16" t="str">
            <v>巴中</v>
          </cell>
          <cell r="C16">
            <v>82743.628556</v>
          </cell>
          <cell r="D16">
            <v>11544.910693</v>
          </cell>
          <cell r="E16">
            <v>77707.532493087</v>
          </cell>
          <cell r="F16">
            <v>7596.70859308697</v>
          </cell>
          <cell r="G16">
            <v>-0.0608638532150499</v>
          </cell>
          <cell r="H16">
            <v>-0.341986370003445</v>
          </cell>
          <cell r="I16">
            <v>6883.383743</v>
          </cell>
          <cell r="J16">
            <v>10447.295967</v>
          </cell>
          <cell r="K16">
            <v>0.517755853380148</v>
          </cell>
          <cell r="L16">
            <v>0.0831892903795173</v>
          </cell>
          <cell r="M16">
            <v>0.134443800128764</v>
          </cell>
          <cell r="N16">
            <v>21</v>
          </cell>
          <cell r="O16">
            <v>0.0512545097492465</v>
          </cell>
          <cell r="P16">
            <v>6808.097725</v>
          </cell>
          <cell r="Q16">
            <v>8736.906043</v>
          </cell>
          <cell r="R16">
            <v>0.283310903560804</v>
          </cell>
          <cell r="S16">
            <v>0.58970553398286</v>
          </cell>
          <cell r="T16">
            <v>1.15009098163257</v>
          </cell>
          <cell r="U16">
            <v>21</v>
          </cell>
          <cell r="V16">
            <v>0.560385447649713</v>
          </cell>
          <cell r="W16">
            <v>1020.697299</v>
          </cell>
          <cell r="X16">
            <v>7716.208744</v>
          </cell>
          <cell r="Y16">
            <v>2433.91141408697</v>
          </cell>
          <cell r="Z16">
            <v>5162.797179</v>
          </cell>
          <cell r="AA16">
            <v>0.419365015954327</v>
          </cell>
          <cell r="AB16">
            <v>21</v>
          </cell>
          <cell r="AC16">
            <v>1.49457909665446</v>
          </cell>
          <cell r="AD16">
            <v>21</v>
          </cell>
          <cell r="AE16">
            <v>1902.428118</v>
          </cell>
          <cell r="AF16">
            <v>1710.389924</v>
          </cell>
          <cell r="AG16">
            <v>-0.100943731951296</v>
          </cell>
          <cell r="AH16">
            <v>0.0267199772004411</v>
          </cell>
          <cell r="AI16">
            <v>0.0243955188208821</v>
          </cell>
          <cell r="AJ16">
            <v>8</v>
          </cell>
          <cell r="AK16">
            <v>-0.00232445837955904</v>
          </cell>
          <cell r="AL16">
            <v>770.000838</v>
          </cell>
          <cell r="AM16">
            <v>3768.07712</v>
          </cell>
          <cell r="AN16">
            <v>3.89360132358713</v>
          </cell>
          <cell r="AO16">
            <v>21</v>
          </cell>
          <cell r="AP16">
            <v>0.111863709296034</v>
          </cell>
          <cell r="AQ16">
            <v>0.360674870502594</v>
          </cell>
          <cell r="AR16">
            <v>20</v>
          </cell>
          <cell r="AS16">
            <v>730.620726</v>
          </cell>
          <cell r="AT16">
            <v>2850.251941</v>
          </cell>
          <cell r="AU16">
            <v>0.326231268480175</v>
          </cell>
          <cell r="AV16">
            <v>20</v>
          </cell>
          <cell r="AW16">
            <v>2.90113753904102</v>
          </cell>
          <cell r="AX16">
            <v>15</v>
          </cell>
          <cell r="AY16">
            <v>5790.255995</v>
          </cell>
          <cell r="AZ16">
            <v>6760.996397</v>
          </cell>
          <cell r="BA16">
            <v>0.167650688128168</v>
          </cell>
          <cell r="BB16">
            <v>0.0699782701828361</v>
          </cell>
          <cell r="BC16">
            <v>0.0870056760276292</v>
          </cell>
          <cell r="BD16">
            <v>7</v>
          </cell>
          <cell r="BE16">
            <v>0.0170274058447931</v>
          </cell>
          <cell r="BF16">
            <v>77350.60246</v>
          </cell>
          <cell r="BG16">
            <v>82146.766976087</v>
          </cell>
          <cell r="BH16">
            <v>0.934822460772915</v>
          </cell>
          <cell r="BI16">
            <v>1.05712746680503</v>
          </cell>
          <cell r="BJ16">
            <v>8</v>
          </cell>
        </row>
        <row r="17">
          <cell r="B17" t="str">
            <v>广安</v>
          </cell>
          <cell r="C17">
            <v>85564.246417</v>
          </cell>
          <cell r="D17">
            <v>11840.340845</v>
          </cell>
          <cell r="E17">
            <v>85384.9795560445</v>
          </cell>
          <cell r="F17">
            <v>11191.0494950444</v>
          </cell>
          <cell r="G17">
            <v>-0.0020951141214034</v>
          </cell>
          <cell r="H17">
            <v>-0.0548372178179132</v>
          </cell>
          <cell r="I17">
            <v>4514.619554</v>
          </cell>
          <cell r="J17">
            <v>8285.826139</v>
          </cell>
          <cell r="K17">
            <v>0.835332089424605</v>
          </cell>
          <cell r="L17">
            <v>0.0527629207648001</v>
          </cell>
          <cell r="M17">
            <v>0.0970407931474809</v>
          </cell>
          <cell r="N17">
            <v>12</v>
          </cell>
          <cell r="O17">
            <v>0.0442778723826808</v>
          </cell>
          <cell r="P17">
            <v>2801.213651</v>
          </cell>
          <cell r="Q17">
            <v>6571.936286</v>
          </cell>
          <cell r="R17">
            <v>1.34610319125565</v>
          </cell>
          <cell r="S17">
            <v>0.236582180164426</v>
          </cell>
          <cell r="T17">
            <v>0.587249327143998</v>
          </cell>
          <cell r="U17">
            <v>13</v>
          </cell>
          <cell r="V17">
            <v>0.350667146979572</v>
          </cell>
          <cell r="W17">
            <v>1106.682415</v>
          </cell>
          <cell r="X17">
            <v>5465.253871</v>
          </cell>
          <cell r="Y17">
            <v>3513.09017504445</v>
          </cell>
          <cell r="Z17">
            <v>7677.95932</v>
          </cell>
          <cell r="AA17">
            <v>0.315016797138148</v>
          </cell>
          <cell r="AB17">
            <v>17</v>
          </cell>
          <cell r="AC17">
            <v>0.711810735537994</v>
          </cell>
          <cell r="AD17">
            <v>13</v>
          </cell>
          <cell r="AE17">
            <v>1763.373845</v>
          </cell>
          <cell r="AF17">
            <v>1713.889853</v>
          </cell>
          <cell r="AG17">
            <v>-0.028062110675119</v>
          </cell>
          <cell r="AH17">
            <v>0.0239186167813351</v>
          </cell>
          <cell r="AI17">
            <v>0.0231001357063966</v>
          </cell>
          <cell r="AJ17">
            <v>7</v>
          </cell>
          <cell r="AK17">
            <v>-0.000818481074938461</v>
          </cell>
          <cell r="AL17">
            <v>433.236312</v>
          </cell>
          <cell r="AM17">
            <v>1146.961716</v>
          </cell>
          <cell r="AN17">
            <v>1.64742747602376</v>
          </cell>
          <cell r="AO17">
            <v>15</v>
          </cell>
          <cell r="AP17">
            <v>0.0959629724759749</v>
          </cell>
          <cell r="AQ17">
            <v>0.138424545333077</v>
          </cell>
          <cell r="AR17">
            <v>7</v>
          </cell>
          <cell r="AS17">
            <v>203.790156</v>
          </cell>
          <cell r="AT17">
            <v>906.123423</v>
          </cell>
          <cell r="AU17">
            <v>0.137877694421702</v>
          </cell>
          <cell r="AV17">
            <v>10</v>
          </cell>
          <cell r="AW17">
            <v>3.44635521550904</v>
          </cell>
          <cell r="AX17">
            <v>17</v>
          </cell>
          <cell r="AY17">
            <v>3960.852307</v>
          </cell>
          <cell r="AZ17">
            <v>3688.565748</v>
          </cell>
          <cell r="BA17">
            <v>-0.0687444362716553</v>
          </cell>
          <cell r="BB17">
            <v>0.0462909740091283</v>
          </cell>
          <cell r="BC17">
            <v>0.0431992344224773</v>
          </cell>
          <cell r="BD17">
            <v>21</v>
          </cell>
          <cell r="BE17">
            <v>-0.00309173958665102</v>
          </cell>
          <cell r="BF17">
            <v>82790.710734</v>
          </cell>
          <cell r="BG17">
            <v>86499.6590190445</v>
          </cell>
          <cell r="BH17">
            <v>0.967585343187818</v>
          </cell>
          <cell r="BI17">
            <v>1.01305474884219</v>
          </cell>
          <cell r="BJ17">
            <v>17</v>
          </cell>
        </row>
        <row r="18">
          <cell r="B18" t="str">
            <v>自贡</v>
          </cell>
          <cell r="C18">
            <v>79631.986928</v>
          </cell>
          <cell r="D18">
            <v>12328.887336</v>
          </cell>
          <cell r="E18">
            <v>81589.1345996973</v>
          </cell>
          <cell r="F18">
            <v>9567.37989069726</v>
          </cell>
          <cell r="G18">
            <v>0.0245774059796708</v>
          </cell>
          <cell r="H18">
            <v>-0.223986753227862</v>
          </cell>
          <cell r="I18">
            <v>4741.550916</v>
          </cell>
          <cell r="J18">
            <v>7142.70072</v>
          </cell>
          <cell r="K18">
            <v>0.506405993848448</v>
          </cell>
          <cell r="L18">
            <v>0.0595432953379289</v>
          </cell>
          <cell r="M18">
            <v>0.0875447540293741</v>
          </cell>
          <cell r="N18">
            <v>8</v>
          </cell>
          <cell r="O18">
            <v>0.0280014586914452</v>
          </cell>
          <cell r="P18">
            <v>4762.015873</v>
          </cell>
          <cell r="Q18">
            <v>6773.733356</v>
          </cell>
          <cell r="R18">
            <v>0.422450814245742</v>
          </cell>
          <cell r="S18">
            <v>0.386248632437012</v>
          </cell>
          <cell r="T18">
            <v>0.708002967728538</v>
          </cell>
          <cell r="U18">
            <v>18</v>
          </cell>
          <cell r="V18">
            <v>0.321754335291526</v>
          </cell>
          <cell r="W18">
            <v>518.406279</v>
          </cell>
          <cell r="X18">
            <v>6255.327077</v>
          </cell>
          <cell r="Y18">
            <v>4975.32076769726</v>
          </cell>
          <cell r="Z18">
            <v>4592.059123</v>
          </cell>
          <cell r="AA18">
            <v>0.104195549031894</v>
          </cell>
          <cell r="AB18">
            <v>2</v>
          </cell>
          <cell r="AC18">
            <v>1.36220525682461</v>
          </cell>
          <cell r="AD18">
            <v>20</v>
          </cell>
          <cell r="AE18">
            <v>1953.083984</v>
          </cell>
          <cell r="AF18">
            <v>368.967363999999</v>
          </cell>
          <cell r="AG18">
            <v>-0.811084742375319</v>
          </cell>
          <cell r="AH18">
            <v>0.0290192278786541</v>
          </cell>
          <cell r="AI18">
            <v>0.00512299881460527</v>
          </cell>
          <cell r="AJ18">
            <v>1</v>
          </cell>
          <cell r="AK18">
            <v>-0.0238962290640488</v>
          </cell>
          <cell r="AL18">
            <v>896.817998</v>
          </cell>
          <cell r="AM18">
            <v>1433.23532</v>
          </cell>
          <cell r="AN18">
            <v>0.598133983925688</v>
          </cell>
          <cell r="AO18">
            <v>6</v>
          </cell>
          <cell r="AP18">
            <v>0.189140223080544</v>
          </cell>
          <cell r="AQ18">
            <v>0.200657339035199</v>
          </cell>
          <cell r="AR18">
            <v>16</v>
          </cell>
          <cell r="AS18">
            <v>686.927902</v>
          </cell>
          <cell r="AT18">
            <v>1197.879527</v>
          </cell>
          <cell r="AU18">
            <v>0.176841848364012</v>
          </cell>
          <cell r="AV18">
            <v>13</v>
          </cell>
          <cell r="AW18">
            <v>0.74382132901045</v>
          </cell>
          <cell r="AX18">
            <v>8</v>
          </cell>
          <cell r="AY18">
            <v>6942.522619</v>
          </cell>
          <cell r="AZ18">
            <v>7147.390865</v>
          </cell>
          <cell r="BA18">
            <v>0.0295091938828294</v>
          </cell>
          <cell r="BB18">
            <v>0.0871825868827956</v>
          </cell>
          <cell r="BC18">
            <v>0.0876022389509021</v>
          </cell>
          <cell r="BD18">
            <v>6</v>
          </cell>
          <cell r="BE18">
            <v>0.000419652068106582</v>
          </cell>
          <cell r="BF18">
            <v>81114.896982</v>
          </cell>
          <cell r="BG18">
            <v>88961.1681326973</v>
          </cell>
          <cell r="BH18">
            <v>1.01862204010231</v>
          </cell>
          <cell r="BI18">
            <v>1.0903555794429</v>
          </cell>
          <cell r="BJ18">
            <v>2</v>
          </cell>
        </row>
        <row r="19">
          <cell r="B19" t="str">
            <v>广元</v>
          </cell>
          <cell r="C19">
            <v>73826.941741</v>
          </cell>
          <cell r="D19">
            <v>11218.976761</v>
          </cell>
          <cell r="E19">
            <v>74002.6261510923</v>
          </cell>
          <cell r="F19">
            <v>11380.1527230923</v>
          </cell>
          <cell r="G19">
            <v>0.0023796788265813</v>
          </cell>
          <cell r="H19">
            <v>0.0143663691908684</v>
          </cell>
          <cell r="I19">
            <v>4448.85043</v>
          </cell>
          <cell r="J19">
            <v>8195.026477</v>
          </cell>
          <cell r="K19">
            <v>0.842054842243819</v>
          </cell>
          <cell r="L19">
            <v>0.0602605271881297</v>
          </cell>
          <cell r="M19">
            <v>0.110739671052593</v>
          </cell>
          <cell r="N19">
            <v>19</v>
          </cell>
          <cell r="O19">
            <v>0.0504791438644636</v>
          </cell>
          <cell r="P19">
            <v>2844.75239</v>
          </cell>
          <cell r="Q19">
            <v>4948.349572</v>
          </cell>
          <cell r="R19">
            <v>0.739465828166507</v>
          </cell>
          <cell r="S19">
            <v>0.253566118426154</v>
          </cell>
          <cell r="T19">
            <v>0.434822773683779</v>
          </cell>
          <cell r="U19">
            <v>8</v>
          </cell>
          <cell r="V19">
            <v>0.181256655257624</v>
          </cell>
          <cell r="W19">
            <v>492.984117</v>
          </cell>
          <cell r="X19">
            <v>4455.365455</v>
          </cell>
          <cell r="Y19">
            <v>4119.26822409231</v>
          </cell>
          <cell r="Z19">
            <v>7260.884499</v>
          </cell>
          <cell r="AA19">
            <v>0.11967759567505</v>
          </cell>
          <cell r="AB19">
            <v>4</v>
          </cell>
          <cell r="AC19">
            <v>0.613611944331798</v>
          </cell>
          <cell r="AD19">
            <v>8</v>
          </cell>
          <cell r="AE19">
            <v>1946.19804</v>
          </cell>
          <cell r="AF19">
            <v>3246.676905</v>
          </cell>
          <cell r="AG19">
            <v>0.668215072809343</v>
          </cell>
          <cell r="AH19">
            <v>0.03108547036502</v>
          </cell>
          <cell r="AI19">
            <v>0.0518452358598205</v>
          </cell>
          <cell r="AJ19">
            <v>21</v>
          </cell>
          <cell r="AK19">
            <v>0.0207597654948005</v>
          </cell>
          <cell r="AL19">
            <v>438.015633</v>
          </cell>
          <cell r="AM19">
            <v>947.56742</v>
          </cell>
          <cell r="AN19">
            <v>1.16331872337534</v>
          </cell>
          <cell r="AO19">
            <v>11</v>
          </cell>
          <cell r="AP19">
            <v>0.0984559134751581</v>
          </cell>
          <cell r="AQ19">
            <v>0.11562713343995</v>
          </cell>
          <cell r="AR19">
            <v>3</v>
          </cell>
          <cell r="AS19">
            <v>193.932042</v>
          </cell>
          <cell r="AT19">
            <v>593.190114</v>
          </cell>
          <cell r="AU19">
            <v>0.119876355817006</v>
          </cell>
          <cell r="AV19">
            <v>6</v>
          </cell>
          <cell r="AW19">
            <v>2.05875247783963</v>
          </cell>
          <cell r="AX19">
            <v>13</v>
          </cell>
          <cell r="AY19">
            <v>4690.993313</v>
          </cell>
          <cell r="AZ19">
            <v>6289.212873</v>
          </cell>
          <cell r="BA19">
            <v>0.34069960312476</v>
          </cell>
          <cell r="BB19">
            <v>0.0635403986996639</v>
          </cell>
          <cell r="BC19">
            <v>0.0849863471082664</v>
          </cell>
          <cell r="BD19">
            <v>8</v>
          </cell>
          <cell r="BE19">
            <v>0.0214459484086024</v>
          </cell>
          <cell r="BF19">
            <v>71317.968399</v>
          </cell>
          <cell r="BG19">
            <v>74077.5466940923</v>
          </cell>
          <cell r="BH19">
            <v>0.966015477780429</v>
          </cell>
          <cell r="BI19">
            <v>1.00101240384155</v>
          </cell>
          <cell r="BJ19">
            <v>18</v>
          </cell>
        </row>
        <row r="20">
          <cell r="B20" t="str">
            <v>遂宁</v>
          </cell>
          <cell r="C20">
            <v>73517.194756</v>
          </cell>
          <cell r="D20">
            <v>8855.36753</v>
          </cell>
          <cell r="E20">
            <v>74765.4419522697</v>
          </cell>
          <cell r="F20">
            <v>8549.57793026971</v>
          </cell>
          <cell r="G20">
            <v>0.01697898294967</v>
          </cell>
          <cell r="H20">
            <v>-0.0345315537378141</v>
          </cell>
          <cell r="I20">
            <v>4524.448219</v>
          </cell>
          <cell r="J20">
            <v>5989.540752</v>
          </cell>
          <cell r="K20">
            <v>0.323816841763705</v>
          </cell>
          <cell r="L20">
            <v>0.0615427211826624</v>
          </cell>
          <cell r="M20">
            <v>0.0801110860258637</v>
          </cell>
          <cell r="N20">
            <v>6</v>
          </cell>
          <cell r="O20">
            <v>0.0185683648432013</v>
          </cell>
          <cell r="P20">
            <v>2939.011684</v>
          </cell>
          <cell r="Q20">
            <v>5181.731037</v>
          </cell>
          <cell r="R20">
            <v>0.763086232426152</v>
          </cell>
          <cell r="S20">
            <v>0.331890423976564</v>
          </cell>
          <cell r="T20">
            <v>0.606080332767554</v>
          </cell>
          <cell r="U20">
            <v>15</v>
          </cell>
          <cell r="V20">
            <v>0.27418990879099</v>
          </cell>
          <cell r="W20">
            <v>715.175414</v>
          </cell>
          <cell r="X20">
            <v>4466.555623</v>
          </cell>
          <cell r="Y20">
            <v>3391.3965592697</v>
          </cell>
          <cell r="Z20">
            <v>5158.181371</v>
          </cell>
          <cell r="AA20">
            <v>0.210879324048735</v>
          </cell>
          <cell r="AB20">
            <v>9</v>
          </cell>
          <cell r="AC20">
            <v>0.86591674502017</v>
          </cell>
          <cell r="AD20">
            <v>14</v>
          </cell>
          <cell r="AE20">
            <v>1597.436535</v>
          </cell>
          <cell r="AF20">
            <v>807.809715</v>
          </cell>
          <cell r="AG20">
            <v>-0.494308726950458</v>
          </cell>
          <cell r="AH20">
            <v>0.0247044756316086</v>
          </cell>
          <cell r="AI20">
            <v>0.0121996401758287</v>
          </cell>
          <cell r="AJ20">
            <v>2</v>
          </cell>
          <cell r="AK20">
            <v>-0.0125048354557799</v>
          </cell>
          <cell r="AL20">
            <v>371.332624</v>
          </cell>
          <cell r="AM20">
            <v>975.374586</v>
          </cell>
          <cell r="AN20">
            <v>1.62668702656193</v>
          </cell>
          <cell r="AO20">
            <v>14</v>
          </cell>
          <cell r="AP20">
            <v>0.0820724663044265</v>
          </cell>
          <cell r="AQ20">
            <v>0.162846305983361</v>
          </cell>
          <cell r="AR20">
            <v>12</v>
          </cell>
          <cell r="AS20">
            <v>124.10905</v>
          </cell>
          <cell r="AT20">
            <v>754.056608</v>
          </cell>
          <cell r="AU20">
            <v>0.145522143587863</v>
          </cell>
          <cell r="AV20">
            <v>12</v>
          </cell>
          <cell r="AW20">
            <v>5.07575843985592</v>
          </cell>
          <cell r="AX20">
            <v>20</v>
          </cell>
          <cell r="AY20">
            <v>2982.586011</v>
          </cell>
          <cell r="AZ20">
            <v>3797.509222</v>
          </cell>
          <cell r="BA20">
            <v>0.273227061346933</v>
          </cell>
          <cell r="BB20">
            <v>0.0405699104937159</v>
          </cell>
          <cell r="BC20">
            <v>0.0507923062158093</v>
          </cell>
          <cell r="BD20">
            <v>20</v>
          </cell>
          <cell r="BE20">
            <v>0.0102223957220934</v>
          </cell>
          <cell r="BF20">
            <v>71374.293774</v>
          </cell>
          <cell r="BG20">
            <v>79515.5183072697</v>
          </cell>
          <cell r="BH20">
            <v>0.970851703616927</v>
          </cell>
          <cell r="BI20">
            <v>1.06353304723367</v>
          </cell>
          <cell r="BJ20">
            <v>7</v>
          </cell>
        </row>
        <row r="21">
          <cell r="B21" t="str">
            <v>资阳</v>
          </cell>
          <cell r="C21">
            <v>63487.432849</v>
          </cell>
          <cell r="D21">
            <v>7294.938073</v>
          </cell>
          <cell r="E21">
            <v>61742.007236564</v>
          </cell>
          <cell r="F21">
            <v>4113.30143756403</v>
          </cell>
          <cell r="G21">
            <v>-0.0274924584931219</v>
          </cell>
          <cell r="H21">
            <v>-0.436143062983884</v>
          </cell>
          <cell r="I21">
            <v>2292.611454</v>
          </cell>
          <cell r="J21">
            <v>3908.321903</v>
          </cell>
          <cell r="K21">
            <v>0.704746740308312</v>
          </cell>
          <cell r="L21">
            <v>0.0361112640898995</v>
          </cell>
          <cell r="M21">
            <v>0.0633008558990526</v>
          </cell>
          <cell r="N21">
            <v>2</v>
          </cell>
          <cell r="O21">
            <v>0.0271895918091531</v>
          </cell>
          <cell r="P21">
            <v>1891.456069</v>
          </cell>
          <cell r="Q21">
            <v>3133.511334</v>
          </cell>
          <cell r="R21">
            <v>0.656666197728116</v>
          </cell>
          <cell r="S21">
            <v>0.259283361979542</v>
          </cell>
          <cell r="T21">
            <v>0.761799586430437</v>
          </cell>
          <cell r="U21">
            <v>19</v>
          </cell>
          <cell r="V21">
            <v>0.502516224450895</v>
          </cell>
          <cell r="W21">
            <v>344.589292</v>
          </cell>
          <cell r="X21">
            <v>2788.922042</v>
          </cell>
          <cell r="Y21">
            <v>1962.23594656403</v>
          </cell>
          <cell r="Z21">
            <v>2151.065491</v>
          </cell>
          <cell r="AA21">
            <v>0.175610528694774</v>
          </cell>
          <cell r="AB21">
            <v>8</v>
          </cell>
          <cell r="AC21">
            <v>1.29653051181788</v>
          </cell>
          <cell r="AD21">
            <v>19</v>
          </cell>
          <cell r="AE21">
            <v>1214.032381</v>
          </cell>
          <cell r="AF21">
            <v>774.810569</v>
          </cell>
          <cell r="AG21">
            <v>-0.361787559272688</v>
          </cell>
          <cell r="AH21">
            <v>0.0216048848843514</v>
          </cell>
          <cell r="AI21">
            <v>0.0134448719307079</v>
          </cell>
          <cell r="AJ21">
            <v>3</v>
          </cell>
          <cell r="AK21">
            <v>-0.00816001295364352</v>
          </cell>
          <cell r="AL21">
            <v>410.801428</v>
          </cell>
          <cell r="AM21">
            <v>688.799584</v>
          </cell>
          <cell r="AN21">
            <v>0.676721493772412</v>
          </cell>
          <cell r="AO21">
            <v>7</v>
          </cell>
          <cell r="AP21">
            <v>0.179184932223583</v>
          </cell>
          <cell r="AQ21">
            <v>0.176239214961102</v>
          </cell>
          <cell r="AR21">
            <v>14</v>
          </cell>
          <cell r="AS21">
            <v>231.903634</v>
          </cell>
          <cell r="AT21">
            <v>447.954282</v>
          </cell>
          <cell r="AU21">
            <v>0.142956011404681</v>
          </cell>
          <cell r="AV21">
            <v>11</v>
          </cell>
          <cell r="AW21">
            <v>0.93163976895679</v>
          </cell>
          <cell r="AX21">
            <v>10</v>
          </cell>
          <cell r="AY21">
            <v>3614.962053</v>
          </cell>
          <cell r="AZ21">
            <v>4751.56036</v>
          </cell>
          <cell r="BA21">
            <v>0.314415003625489</v>
          </cell>
          <cell r="BB21">
            <v>0.0569398051043883</v>
          </cell>
          <cell r="BC21">
            <v>0.0769583071990911</v>
          </cell>
          <cell r="BD21">
            <v>11</v>
          </cell>
          <cell r="BE21">
            <v>0.0200185020947028</v>
          </cell>
          <cell r="BF21">
            <v>62729.285128</v>
          </cell>
          <cell r="BG21">
            <v>65740.965988564</v>
          </cell>
          <cell r="BH21">
            <v>0.988058302454862</v>
          </cell>
          <cell r="BI21">
            <v>1.06476884913505</v>
          </cell>
          <cell r="BJ21">
            <v>6</v>
          </cell>
        </row>
        <row r="22">
          <cell r="B22" t="str">
            <v>甘孜</v>
          </cell>
          <cell r="C22">
            <v>57645.487392</v>
          </cell>
          <cell r="D22">
            <v>15646.131085</v>
          </cell>
          <cell r="E22">
            <v>57221.629940173</v>
          </cell>
          <cell r="F22">
            <v>16455.209782173</v>
          </cell>
          <cell r="G22">
            <v>-0.00735282970104312</v>
          </cell>
          <cell r="H22">
            <v>0.05171110306935</v>
          </cell>
          <cell r="I22">
            <v>3356.563978</v>
          </cell>
          <cell r="J22">
            <v>7409.927229</v>
          </cell>
          <cell r="K22">
            <v>1.20759302595364</v>
          </cell>
          <cell r="L22">
            <v>0.0582276970819024</v>
          </cell>
          <cell r="M22">
            <v>0.12949521425285</v>
          </cell>
          <cell r="N22">
            <v>20</v>
          </cell>
          <cell r="O22">
            <v>0.0712675171709476</v>
          </cell>
          <cell r="P22">
            <v>2694.766052</v>
          </cell>
          <cell r="Q22">
            <v>5407.410397</v>
          </cell>
          <cell r="R22">
            <v>1.00663445087811</v>
          </cell>
          <cell r="S22">
            <v>0.172232102451416</v>
          </cell>
          <cell r="T22">
            <v>0.328613883905521</v>
          </cell>
          <cell r="U22">
            <v>3</v>
          </cell>
          <cell r="V22">
            <v>0.156381781454106</v>
          </cell>
          <cell r="W22">
            <v>2847.99515</v>
          </cell>
          <cell r="X22">
            <v>2559.415247</v>
          </cell>
          <cell r="Y22">
            <v>8251.94500717298</v>
          </cell>
          <cell r="Z22">
            <v>8203.264775</v>
          </cell>
          <cell r="AA22">
            <v>0.345130165982006</v>
          </cell>
          <cell r="AB22">
            <v>19</v>
          </cell>
          <cell r="AC22">
            <v>0.311999590065652</v>
          </cell>
          <cell r="AD22">
            <v>2</v>
          </cell>
          <cell r="AE22">
            <v>1710.567051</v>
          </cell>
          <cell r="AF22">
            <v>2002.516832</v>
          </cell>
          <cell r="AG22">
            <v>0.170674268997129</v>
          </cell>
          <cell r="AH22">
            <v>0.0407284111331702</v>
          </cell>
          <cell r="AI22">
            <v>0.0491217238167778</v>
          </cell>
          <cell r="AJ22">
            <v>20</v>
          </cell>
          <cell r="AK22">
            <v>0.00839331268360764</v>
          </cell>
          <cell r="AL22">
            <v>1105.977936</v>
          </cell>
          <cell r="AM22">
            <v>1083.155936</v>
          </cell>
          <cell r="AN22">
            <v>-0.0206351313684796</v>
          </cell>
          <cell r="AO22">
            <v>3</v>
          </cell>
          <cell r="AP22">
            <v>0.329497052119052</v>
          </cell>
          <cell r="AQ22">
            <v>0.146176325694655</v>
          </cell>
          <cell r="AR22">
            <v>8</v>
          </cell>
          <cell r="AS22">
            <v>403.945241</v>
          </cell>
          <cell r="AT22">
            <v>645.257695</v>
          </cell>
          <cell r="AU22">
            <v>0.119328411869383</v>
          </cell>
          <cell r="AV22">
            <v>5</v>
          </cell>
          <cell r="AW22">
            <v>0.597389025806099</v>
          </cell>
          <cell r="AX22">
            <v>7</v>
          </cell>
          <cell r="AY22">
            <v>6333.527486</v>
          </cell>
          <cell r="AZ22">
            <v>7133.749592</v>
          </cell>
          <cell r="BA22">
            <v>0.126346985588814</v>
          </cell>
          <cell r="BB22">
            <v>0.109870308545244</v>
          </cell>
          <cell r="BC22">
            <v>0.124668758989539</v>
          </cell>
          <cell r="BD22">
            <v>2</v>
          </cell>
          <cell r="BE22">
            <v>0.0147984504442949</v>
          </cell>
          <cell r="BF22">
            <v>55078.813503</v>
          </cell>
          <cell r="BG22">
            <v>57243.266441173</v>
          </cell>
          <cell r="BH22">
            <v>0.955474851456348</v>
          </cell>
          <cell r="BI22">
            <v>1.00037811752344</v>
          </cell>
          <cell r="BJ22">
            <v>19</v>
          </cell>
        </row>
        <row r="23">
          <cell r="B23" t="str">
            <v>雅安</v>
          </cell>
          <cell r="C23">
            <v>54011.8654196038</v>
          </cell>
          <cell r="D23">
            <v>8952.76646760377</v>
          </cell>
          <cell r="E23">
            <v>55656.4640550355</v>
          </cell>
          <cell r="F23">
            <v>10789.5396620355</v>
          </cell>
          <cell r="G23">
            <v>0.0304488397624347</v>
          </cell>
          <cell r="H23">
            <v>0.205162638953917</v>
          </cell>
          <cell r="I23">
            <v>2009.350248</v>
          </cell>
          <cell r="J23">
            <v>2416.710638</v>
          </cell>
          <cell r="K23">
            <v>0.202732395910302</v>
          </cell>
          <cell r="L23">
            <v>0.0372020153792115</v>
          </cell>
          <cell r="M23">
            <v>0.0434219219462137</v>
          </cell>
          <cell r="N23">
            <v>1</v>
          </cell>
          <cell r="O23">
            <v>0.00621990656700224</v>
          </cell>
          <cell r="P23">
            <v>1104.812754</v>
          </cell>
          <cell r="Q23">
            <v>1634.011767</v>
          </cell>
          <cell r="R23">
            <v>0.478994301146527</v>
          </cell>
          <cell r="S23">
            <v>0.123404621129999</v>
          </cell>
          <cell r="T23">
            <v>0.15144406695584</v>
          </cell>
          <cell r="U23">
            <v>1</v>
          </cell>
          <cell r="V23">
            <v>0.0280394458258417</v>
          </cell>
          <cell r="W23">
            <v>1335.804914</v>
          </cell>
          <cell r="X23">
            <v>298.206853</v>
          </cell>
          <cell r="Y23">
            <v>3601.41631303552</v>
          </cell>
          <cell r="Z23">
            <v>7188.123349</v>
          </cell>
          <cell r="AA23">
            <v>0.370910996644565</v>
          </cell>
          <cell r="AB23">
            <v>20</v>
          </cell>
          <cell r="AC23">
            <v>0.0414860511598603</v>
          </cell>
          <cell r="AD23">
            <v>1</v>
          </cell>
          <cell r="AE23">
            <v>1215.782863</v>
          </cell>
          <cell r="AF23">
            <v>782.698871</v>
          </cell>
          <cell r="AG23">
            <v>-0.356218207362576</v>
          </cell>
          <cell r="AH23">
            <v>0.0269819612747945</v>
          </cell>
          <cell r="AI23">
            <v>0.0174448969165828</v>
          </cell>
          <cell r="AJ23">
            <v>4</v>
          </cell>
          <cell r="AK23">
            <v>-0.00953706435821172</v>
          </cell>
          <cell r="AL23">
            <v>174.765671</v>
          </cell>
          <cell r="AM23">
            <v>302.866914</v>
          </cell>
          <cell r="AN23">
            <v>0.732988591334965</v>
          </cell>
          <cell r="AO23">
            <v>8</v>
          </cell>
          <cell r="AP23">
            <v>0.0869762109288574</v>
          </cell>
          <cell r="AQ23">
            <v>0.125321960038478</v>
          </cell>
          <cell r="AR23">
            <v>4</v>
          </cell>
          <cell r="AS23">
            <v>156.407518</v>
          </cell>
          <cell r="AT23">
            <v>179.540369</v>
          </cell>
          <cell r="AU23">
            <v>0.109877035542792</v>
          </cell>
          <cell r="AV23">
            <v>3</v>
          </cell>
          <cell r="AW23">
            <v>0.14790114500762</v>
          </cell>
          <cell r="AX23">
            <v>5</v>
          </cell>
          <cell r="AY23">
            <v>4301.646157</v>
          </cell>
          <cell r="AZ23">
            <v>4537.39066</v>
          </cell>
          <cell r="BA23">
            <v>0.0548033228201201</v>
          </cell>
          <cell r="BB23">
            <v>0.0796426141474962</v>
          </cell>
          <cell r="BC23">
            <v>0.0815249537863784</v>
          </cell>
          <cell r="BD23">
            <v>10</v>
          </cell>
          <cell r="BE23">
            <v>0.00188233963888217</v>
          </cell>
          <cell r="BF23">
            <v>61699.95018</v>
          </cell>
          <cell r="BG23">
            <v>59693.6430450355</v>
          </cell>
          <cell r="BH23">
            <v>1.14234066349439</v>
          </cell>
          <cell r="BI23">
            <v>1.07253746817275</v>
          </cell>
          <cell r="BJ23">
            <v>4</v>
          </cell>
        </row>
        <row r="24">
          <cell r="B24" t="str">
            <v>阿坝</v>
          </cell>
          <cell r="C24">
            <v>41224.99207</v>
          </cell>
          <cell r="D24">
            <v>6894.761928</v>
          </cell>
          <cell r="E24">
            <v>43837.1132383559</v>
          </cell>
          <cell r="F24">
            <v>8900.75600535587</v>
          </cell>
          <cell r="G24">
            <v>0.0633625632703707</v>
          </cell>
          <cell r="H24">
            <v>0.290944647299484</v>
          </cell>
          <cell r="I24">
            <v>2772.827918</v>
          </cell>
          <cell r="J24">
            <v>4676.647814</v>
          </cell>
          <cell r="K24">
            <v>0.6865986466889</v>
          </cell>
          <cell r="L24">
            <v>0.0672608478199763</v>
          </cell>
          <cell r="M24">
            <v>0.106682385506811</v>
          </cell>
          <cell r="N24">
            <v>17</v>
          </cell>
          <cell r="O24">
            <v>0.0394215376868344</v>
          </cell>
          <cell r="P24">
            <v>1788.016067</v>
          </cell>
          <cell r="Q24">
            <v>2982.89581</v>
          </cell>
          <cell r="R24">
            <v>0.668271256088215</v>
          </cell>
          <cell r="S24">
            <v>0.259329631054956</v>
          </cell>
          <cell r="T24">
            <v>0.335128365298981</v>
          </cell>
          <cell r="U24">
            <v>4</v>
          </cell>
          <cell r="V24">
            <v>0.0757987342440244</v>
          </cell>
          <cell r="W24">
            <v>1146.186935</v>
          </cell>
          <cell r="X24">
            <v>1836.708875</v>
          </cell>
          <cell r="Y24">
            <v>5147.01182835587</v>
          </cell>
          <cell r="Z24">
            <v>3753.744177</v>
          </cell>
          <cell r="AA24">
            <v>0.222689780638435</v>
          </cell>
          <cell r="AB24">
            <v>11</v>
          </cell>
          <cell r="AC24">
            <v>0.489300492626512</v>
          </cell>
          <cell r="AD24">
            <v>4</v>
          </cell>
          <cell r="AE24">
            <v>1367.731851</v>
          </cell>
          <cell r="AF24">
            <v>1693.752004</v>
          </cell>
          <cell r="AG24">
            <v>0.238365548599043</v>
          </cell>
          <cell r="AH24">
            <v>0.0398404509769569</v>
          </cell>
          <cell r="AI24">
            <v>0.0484810706709892</v>
          </cell>
          <cell r="AJ24">
            <v>19</v>
          </cell>
          <cell r="AK24">
            <v>0.0086406196940323</v>
          </cell>
          <cell r="AL24">
            <v>310.860191</v>
          </cell>
          <cell r="AM24">
            <v>894.298962</v>
          </cell>
          <cell r="AN24">
            <v>1.87685264273675</v>
          </cell>
          <cell r="AO24">
            <v>18</v>
          </cell>
          <cell r="AP24">
            <v>0.112109442126585</v>
          </cell>
          <cell r="AQ24">
            <v>0.191226493327727</v>
          </cell>
          <cell r="AR24">
            <v>15</v>
          </cell>
          <cell r="AS24">
            <v>219.25353</v>
          </cell>
          <cell r="AT24">
            <v>337.461002</v>
          </cell>
          <cell r="AU24">
            <v>0.113132011137861</v>
          </cell>
          <cell r="AV24">
            <v>4</v>
          </cell>
          <cell r="AW24">
            <v>0.539136003876425</v>
          </cell>
          <cell r="AX24">
            <v>6</v>
          </cell>
          <cell r="AY24">
            <v>7348.168397</v>
          </cell>
          <cell r="AZ24">
            <v>6984.070732</v>
          </cell>
          <cell r="BA24">
            <v>-0.049549444885973</v>
          </cell>
          <cell r="BB24">
            <v>0.17824547751332</v>
          </cell>
          <cell r="BC24">
            <v>0.159318673518155</v>
          </cell>
          <cell r="BD24">
            <v>1</v>
          </cell>
          <cell r="BE24">
            <v>-0.0189268039951658</v>
          </cell>
          <cell r="BF24">
            <v>44724.369862</v>
          </cell>
          <cell r="BG24">
            <v>45042.1889513559</v>
          </cell>
          <cell r="BH24">
            <v>1.08488486270799</v>
          </cell>
          <cell r="BI24">
            <v>1.02748985104123</v>
          </cell>
          <cell r="BJ24">
            <v>15</v>
          </cell>
        </row>
        <row r="25">
          <cell r="B25" t="str">
            <v>攀枝花</v>
          </cell>
          <cell r="C25">
            <v>39056.357676</v>
          </cell>
          <cell r="D25">
            <v>4575.090563</v>
          </cell>
          <cell r="E25">
            <v>41681.5980668821</v>
          </cell>
          <cell r="F25">
            <v>5590.13373888209</v>
          </cell>
          <cell r="G25">
            <v>0.067216723399051</v>
          </cell>
          <cell r="H25">
            <v>0.22186296902864</v>
          </cell>
          <cell r="I25">
            <v>4551.758531</v>
          </cell>
          <cell r="J25">
            <v>4138.846742</v>
          </cell>
          <cell r="K25">
            <v>-0.090714783349741</v>
          </cell>
          <cell r="L25">
            <v>0.116543344076272</v>
          </cell>
          <cell r="M25">
            <v>0.0992967384637898</v>
          </cell>
          <cell r="N25">
            <v>13</v>
          </cell>
          <cell r="O25">
            <v>-0.0172466056124818</v>
          </cell>
          <cell r="P25">
            <v>2946.310648</v>
          </cell>
          <cell r="Q25">
            <v>2736.352294</v>
          </cell>
          <cell r="R25">
            <v>-0.0712614449336912</v>
          </cell>
          <cell r="S25">
            <v>0.6439895795348</v>
          </cell>
          <cell r="T25">
            <v>0.489496749418953</v>
          </cell>
          <cell r="U25">
            <v>10</v>
          </cell>
          <cell r="V25">
            <v>-0.154492830115847</v>
          </cell>
          <cell r="W25">
            <v>608.150469</v>
          </cell>
          <cell r="X25">
            <v>2128.201825</v>
          </cell>
          <cell r="Y25">
            <v>2118.10280388209</v>
          </cell>
          <cell r="Z25">
            <v>3472.030935</v>
          </cell>
          <cell r="AA25">
            <v>0.287120373895626</v>
          </cell>
          <cell r="AB25">
            <v>13</v>
          </cell>
          <cell r="AC25">
            <v>0.612955893781517</v>
          </cell>
          <cell r="AD25">
            <v>7</v>
          </cell>
          <cell r="AE25">
            <v>2228.344201</v>
          </cell>
          <cell r="AF25">
            <v>1402.494448</v>
          </cell>
          <cell r="AG25">
            <v>-0.370611395057096</v>
          </cell>
          <cell r="AH25">
            <v>0.0646247770912072</v>
          </cell>
          <cell r="AI25">
            <v>0.0388594498481441</v>
          </cell>
          <cell r="AJ25">
            <v>15</v>
          </cell>
          <cell r="AK25">
            <v>-0.0257653272430631</v>
          </cell>
          <cell r="AL25">
            <v>3170.012974</v>
          </cell>
          <cell r="AM25">
            <v>1635.439677</v>
          </cell>
          <cell r="AN25">
            <v>-0.484090541454043</v>
          </cell>
          <cell r="AO25">
            <v>1</v>
          </cell>
          <cell r="AP25">
            <v>0.696436981973111</v>
          </cell>
          <cell r="AQ25">
            <v>0.395143811536668</v>
          </cell>
          <cell r="AR25">
            <v>21</v>
          </cell>
          <cell r="AS25">
            <v>1726.268402</v>
          </cell>
          <cell r="AT25">
            <v>829.561597</v>
          </cell>
          <cell r="AU25">
            <v>0.303163302042277</v>
          </cell>
          <cell r="AV25">
            <v>19</v>
          </cell>
          <cell r="AW25">
            <v>-0.51944807885095</v>
          </cell>
          <cell r="AX25">
            <v>2</v>
          </cell>
          <cell r="AY25">
            <v>4470.98636</v>
          </cell>
          <cell r="AZ25">
            <v>4145.122275</v>
          </cell>
          <cell r="BA25">
            <v>-0.072884159950781</v>
          </cell>
          <cell r="BB25">
            <v>0.114475251304537</v>
          </cell>
          <cell r="BC25">
            <v>0.0994472973024872</v>
          </cell>
          <cell r="BD25">
            <v>4</v>
          </cell>
          <cell r="BE25">
            <v>-0.0150279540020502</v>
          </cell>
          <cell r="BF25">
            <v>41027.872298</v>
          </cell>
          <cell r="BG25">
            <v>47134.4992888821</v>
          </cell>
          <cell r="BH25">
            <v>1.05047871177223</v>
          </cell>
          <cell r="BI25">
            <v>1.13082274852443</v>
          </cell>
          <cell r="BJ25">
            <v>1</v>
          </cell>
        </row>
        <row r="26">
          <cell r="B26" t="str">
            <v>市州合计</v>
          </cell>
          <cell r="C26">
            <v>3042057.20563447</v>
          </cell>
          <cell r="D26">
            <v>462938.614025472</v>
          </cell>
          <cell r="E26">
            <v>3051811.98025629</v>
          </cell>
          <cell r="F26">
            <v>429644.336208292</v>
          </cell>
        </row>
        <row r="26">
          <cell r="I26">
            <v>159380.690731</v>
          </cell>
          <cell r="J26">
            <v>252748.693842</v>
          </cell>
          <cell r="K26">
            <v>0.585817533370996</v>
          </cell>
          <cell r="L26">
            <v>0.0523924042045614</v>
          </cell>
          <cell r="M26">
            <v>0.0828192219825987</v>
          </cell>
        </row>
        <row r="26">
          <cell r="O26">
            <v>0.0304268177780372</v>
          </cell>
          <cell r="P26">
            <v>119053.824454</v>
          </cell>
          <cell r="Q26">
            <v>181786.990407</v>
          </cell>
          <cell r="R26">
            <v>0.52693112750224</v>
          </cell>
          <cell r="S26">
            <v>0.257169786332512</v>
          </cell>
          <cell r="T26">
            <v>0.42311040804427</v>
          </cell>
        </row>
        <row r="26">
          <cell r="V26">
            <v>0.165940621711758</v>
          </cell>
          <cell r="W26">
            <v>29083.743164</v>
          </cell>
          <cell r="X26">
            <v>152703.247243</v>
          </cell>
          <cell r="Y26">
            <v>176691.033751292</v>
          </cell>
          <cell r="Z26">
            <v>252953.302457</v>
          </cell>
          <cell r="AA26">
            <v>0.150885403375135</v>
          </cell>
        </row>
        <row r="26">
          <cell r="AC26">
            <v>0.553374774236094</v>
          </cell>
        </row>
        <row r="26">
          <cell r="AE26">
            <v>72281.950653</v>
          </cell>
          <cell r="AF26">
            <v>70961.703435</v>
          </cell>
          <cell r="AG26">
            <v>-0.0182652405762826</v>
          </cell>
          <cell r="AH26">
            <v>0.0280258344413339</v>
          </cell>
          <cell r="AI26">
            <v>0.0270622298296123</v>
          </cell>
        </row>
        <row r="26">
          <cell r="AK26">
            <v>-0.000963604611721569</v>
          </cell>
          <cell r="AL26">
            <v>26692.471244</v>
          </cell>
          <cell r="AM26">
            <v>49717.520648</v>
          </cell>
          <cell r="AN26">
            <v>0.862604634599939</v>
          </cell>
        </row>
        <row r="26">
          <cell r="AP26">
            <v>0.167476192514758</v>
          </cell>
          <cell r="AQ26">
            <v>0.196707329688832</v>
          </cell>
        </row>
        <row r="26">
          <cell r="AS26">
            <v>18036.386474</v>
          </cell>
          <cell r="AT26">
            <v>33985.685822</v>
          </cell>
          <cell r="AU26">
            <v>0.186953344383501</v>
          </cell>
        </row>
        <row r="26">
          <cell r="AW26">
            <v>0.884284630460286</v>
          </cell>
        </row>
        <row r="26">
          <cell r="AY26">
            <v>247318.967943</v>
          </cell>
          <cell r="AZ26">
            <v>254765.162318</v>
          </cell>
          <cell r="BA26">
            <v>0.0301076558621096</v>
          </cell>
          <cell r="BB26">
            <v>0.0812999070119121</v>
          </cell>
          <cell r="BC26">
            <v>0.0834799666448012</v>
          </cell>
        </row>
        <row r="26">
          <cell r="BE26">
            <v>0.00218005963288904</v>
          </cell>
          <cell r="BF26">
            <v>3089855.196117</v>
          </cell>
          <cell r="BG26">
            <v>3212100.32710529</v>
          </cell>
          <cell r="BH26">
            <v>1.01571239041593</v>
          </cell>
          <cell r="BI26">
            <v>1.05252235323997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026年2月"/>
    </sheetNames>
    <sheetDataSet>
      <sheetData sheetId="0">
        <row r="2">
          <cell r="B2" t="str">
            <v>单位</v>
          </cell>
          <cell r="C2" t="str">
            <v>2025年收入完成（不含云及IDC直销收入）</v>
          </cell>
        </row>
        <row r="2">
          <cell r="E2" t="str">
            <v>2026年收入预算（不含云及IDC运营中心直销客户的IDC收入）</v>
          </cell>
        </row>
        <row r="2">
          <cell r="I2" t="str">
            <v>应收账款总额占收比</v>
          </cell>
        </row>
        <row r="2">
          <cell r="P2" t="str">
            <v>产数应收账款占产数收入比</v>
          </cell>
        </row>
        <row r="2">
          <cell r="W2" t="str">
            <v>分资源型/ICT应收占收比
（注：资源型应收=组网专线+IDC
ICT应收=产数应收+合同资产-资源应收
资源型收入=组网专线+IDC-云锦IDC收入
ICT应收=产数收入-组网专线-IDC）</v>
          </cell>
        </row>
        <row r="2">
          <cell r="AE2" t="str">
            <v>基础应收账款占基础收入比</v>
          </cell>
        </row>
        <row r="2">
          <cell r="AL2" t="str">
            <v>一年以上应收账款占应收总额比</v>
          </cell>
        </row>
        <row r="2">
          <cell r="AS2" t="str">
            <v>一年以上产数应收</v>
          </cell>
        </row>
        <row r="2">
          <cell r="AY2" t="str">
            <v>预收账款占收比</v>
          </cell>
        </row>
        <row r="2">
          <cell r="BF2" t="str">
            <v>营业收现率</v>
          </cell>
        </row>
        <row r="3">
          <cell r="C3" t="str">
            <v>收入完成</v>
          </cell>
          <cell r="D3" t="str">
            <v>产数收入完成</v>
          </cell>
          <cell r="E3" t="str">
            <v>收入</v>
          </cell>
          <cell r="F3" t="str">
            <v>产数收入</v>
          </cell>
          <cell r="G3" t="str">
            <v>收入同比</v>
          </cell>
          <cell r="H3" t="str">
            <v>产数收入同比</v>
          </cell>
          <cell r="I3" t="str">
            <v>202502
应收总额</v>
          </cell>
          <cell r="J3" t="str">
            <v>202602
应收总额</v>
          </cell>
          <cell r="K3" t="str">
            <v>应收总额同比增幅</v>
          </cell>
          <cell r="L3" t="str">
            <v>202502
占收比</v>
          </cell>
          <cell r="M3" t="str">
            <v>202602
占收比</v>
          </cell>
          <cell r="N3" t="str">
            <v>排名</v>
          </cell>
          <cell r="O3" t="str">
            <v>占收比同比</v>
          </cell>
          <cell r="P3" t="str">
            <v>202502
应收产数</v>
          </cell>
          <cell r="Q3" t="str">
            <v>202602
应收产数</v>
          </cell>
          <cell r="R3" t="str">
            <v>产数应收账款增幅</v>
          </cell>
          <cell r="S3" t="str">
            <v>202502
产数占收比</v>
          </cell>
          <cell r="T3" t="str">
            <v>202602
产数占收比</v>
          </cell>
          <cell r="U3" t="str">
            <v>排名</v>
          </cell>
          <cell r="V3" t="str">
            <v>产数占收比同比</v>
          </cell>
          <cell r="W3" t="str">
            <v>202602资源型应收账款总额</v>
          </cell>
          <cell r="X3" t="str">
            <v>202602产数ICT应收账款总额</v>
          </cell>
          <cell r="Y3" t="str">
            <v>202602资源型收入（剔除云锦IDC收入）</v>
          </cell>
          <cell r="Z3" t="str">
            <v>202602产数ICT收入</v>
          </cell>
          <cell r="AA3" t="str">
            <v>202602资源型应收占收比</v>
          </cell>
          <cell r="AB3" t="str">
            <v>排名</v>
          </cell>
          <cell r="AC3" t="str">
            <v>202602产数ICT应收占收比</v>
          </cell>
          <cell r="AD3" t="str">
            <v>排名</v>
          </cell>
          <cell r="AE3" t="str">
            <v>202502
基础应收</v>
          </cell>
          <cell r="AF3" t="str">
            <v>202602
基础应收</v>
          </cell>
          <cell r="AG3" t="str">
            <v>基础应收同比增幅</v>
          </cell>
          <cell r="AH3" t="str">
            <v>202502
基础占收比</v>
          </cell>
          <cell r="AI3" t="str">
            <v>202602
基础占收比</v>
          </cell>
          <cell r="AJ3" t="str">
            <v>排名</v>
          </cell>
          <cell r="AK3" t="str">
            <v>基础占收比同比</v>
          </cell>
          <cell r="AL3" t="str">
            <v>202502
一年以上应收</v>
          </cell>
          <cell r="AM3" t="str">
            <v>202602
一年以上应收</v>
          </cell>
          <cell r="AN3" t="str">
            <v>一年以上同比增幅</v>
          </cell>
          <cell r="AO3" t="str">
            <v>排名</v>
          </cell>
          <cell r="AP3" t="str">
            <v>202502
一年以上占应收总额比</v>
          </cell>
          <cell r="AQ3" t="str">
            <v>202602
一年以上占应收总额比</v>
          </cell>
          <cell r="AR3" t="str">
            <v>排名</v>
          </cell>
          <cell r="AS3" t="str">
            <v>202502一年以上产数应收</v>
          </cell>
          <cell r="AT3" t="str">
            <v>202602一年以上产数应收</v>
          </cell>
          <cell r="AU3" t="str">
            <v>202602一年以上产数应收账款结构占比</v>
          </cell>
          <cell r="AV3" t="str">
            <v>排名</v>
          </cell>
          <cell r="AW3" t="str">
            <v>202602一年以上产数应收同比增幅</v>
          </cell>
          <cell r="AX3" t="str">
            <v>排名</v>
          </cell>
          <cell r="AY3" t="str">
            <v>202502
预收账款总额</v>
          </cell>
          <cell r="AZ3" t="str">
            <v>202602
预收账款总额</v>
          </cell>
          <cell r="BA3" t="str">
            <v>同比增幅</v>
          </cell>
          <cell r="BB3" t="str">
            <v>202502
占收比</v>
          </cell>
          <cell r="BC3" t="str">
            <v>202602
占收比</v>
          </cell>
          <cell r="BD3" t="str">
            <v>排名</v>
          </cell>
          <cell r="BE3" t="str">
            <v>占收比同比</v>
          </cell>
          <cell r="BF3" t="str">
            <v>202502经营活动现金流入完成</v>
          </cell>
          <cell r="BG3" t="str">
            <v>202602经营活动现金流入完成</v>
          </cell>
          <cell r="BH3" t="str">
            <v>202502营业收现率</v>
          </cell>
          <cell r="BI3" t="str">
            <v>202602营业收现率</v>
          </cell>
          <cell r="BJ3" t="str">
            <v>排名</v>
          </cell>
        </row>
        <row r="5">
          <cell r="B5" t="str">
            <v>成都</v>
          </cell>
          <cell r="C5">
            <v>1035002.11179498</v>
          </cell>
          <cell r="D5">
            <v>180143.506828979</v>
          </cell>
          <cell r="E5">
            <v>1059462.06544745</v>
          </cell>
          <cell r="F5">
            <v>200299.183928018</v>
          </cell>
          <cell r="G5">
            <v>0.0236327572414801</v>
          </cell>
          <cell r="H5">
            <v>0.111886781010508</v>
          </cell>
          <cell r="I5">
            <v>81543.131308</v>
          </cell>
          <cell r="J5">
            <v>82522.457507</v>
          </cell>
          <cell r="K5">
            <v>0.0120099165103307</v>
          </cell>
          <cell r="L5">
            <v>0.0787854733615776</v>
          </cell>
          <cell r="M5">
            <v>0.0778909035050233</v>
          </cell>
          <cell r="N5">
            <v>4</v>
          </cell>
          <cell r="O5">
            <v>-0.000894569856554339</v>
          </cell>
          <cell r="P5">
            <v>54820.636655</v>
          </cell>
          <cell r="Q5">
            <v>63932.288098</v>
          </cell>
          <cell r="R5">
            <v>0.166208420751147</v>
          </cell>
          <cell r="S5">
            <v>0.304316473127419</v>
          </cell>
          <cell r="T5">
            <v>0.319183966925075</v>
          </cell>
          <cell r="U5">
            <v>2</v>
          </cell>
          <cell r="V5">
            <v>0.014867493797656</v>
          </cell>
          <cell r="W5">
            <v>10976.049698</v>
          </cell>
          <cell r="X5">
            <v>52956.2384</v>
          </cell>
          <cell r="Y5">
            <v>21829.439499</v>
          </cell>
          <cell r="Z5">
            <v>15254.660289</v>
          </cell>
          <cell r="AA5">
            <v>0.0838015843886938</v>
          </cell>
          <cell r="AB5">
            <v>1</v>
          </cell>
          <cell r="AC5">
            <v>0.578579894020827</v>
          </cell>
          <cell r="AD5">
            <v>3</v>
          </cell>
          <cell r="AE5">
            <v>26722.494653</v>
          </cell>
          <cell r="AF5">
            <v>18590.169409</v>
          </cell>
          <cell r="AG5">
            <v>-0.304325077040928</v>
          </cell>
          <cell r="AH5">
            <v>0.0312595492374587</v>
          </cell>
          <cell r="AI5">
            <v>0.0216375378974977</v>
          </cell>
          <cell r="AJ5">
            <v>4</v>
          </cell>
          <cell r="AK5">
            <v>-0.00962201133996109</v>
          </cell>
          <cell r="AL5">
            <v>15743.060857</v>
          </cell>
          <cell r="AM5">
            <v>16511.890248</v>
          </cell>
          <cell r="AN5">
            <v>0.0488360807331916</v>
          </cell>
          <cell r="AO5">
            <v>4</v>
          </cell>
          <cell r="AP5">
            <v>0.193064217727134</v>
          </cell>
          <cell r="AQ5">
            <v>0.200089657371139</v>
          </cell>
          <cell r="AR5">
            <v>13</v>
          </cell>
          <cell r="AS5">
            <v>8325.644046</v>
          </cell>
          <cell r="AT5">
            <v>10434.1992</v>
          </cell>
          <cell r="AU5">
            <v>0.16320703529343</v>
          </cell>
          <cell r="AV5">
            <v>8</v>
          </cell>
          <cell r="AW5">
            <v>0.25326030543103</v>
          </cell>
          <cell r="AX5">
            <v>5</v>
          </cell>
          <cell r="AY5">
            <v>88820.823189</v>
          </cell>
          <cell r="AZ5">
            <v>100298.478931</v>
          </cell>
          <cell r="BA5">
            <v>0.129222577881055</v>
          </cell>
          <cell r="BB5">
            <v>0.0858170453729414</v>
          </cell>
          <cell r="BC5">
            <v>0.0946692498033332</v>
          </cell>
          <cell r="BD5">
            <v>3</v>
          </cell>
          <cell r="BE5">
            <v>0.00885220443039178</v>
          </cell>
          <cell r="BF5">
            <v>148792.174291</v>
          </cell>
          <cell r="BG5">
            <v>154446.042295</v>
          </cell>
          <cell r="BH5">
            <v>0.809646425267771</v>
          </cell>
          <cell r="BI5">
            <v>0.898203133408652</v>
          </cell>
          <cell r="BJ5">
            <v>15</v>
          </cell>
        </row>
        <row r="6">
          <cell r="B6" t="str">
            <v>绵阳</v>
          </cell>
          <cell r="C6">
            <v>181679.31450566</v>
          </cell>
          <cell r="D6">
            <v>18516.33890666</v>
          </cell>
          <cell r="E6">
            <v>186047.105255515</v>
          </cell>
          <cell r="F6">
            <v>22732.1052555154</v>
          </cell>
          <cell r="G6">
            <v>0.024041211085255</v>
          </cell>
          <cell r="H6">
            <v>0.227678180341529</v>
          </cell>
          <cell r="I6">
            <v>10908.33206</v>
          </cell>
          <cell r="J6">
            <v>14376.137658</v>
          </cell>
          <cell r="K6">
            <v>0.317904293610218</v>
          </cell>
          <cell r="L6">
            <v>0.0600416843804206</v>
          </cell>
          <cell r="M6">
            <v>0.0772714933578567</v>
          </cell>
          <cell r="N6">
            <v>3</v>
          </cell>
          <cell r="O6">
            <v>0.0172298089774362</v>
          </cell>
          <cell r="P6">
            <v>5534.935478</v>
          </cell>
          <cell r="Q6">
            <v>8092.344419</v>
          </cell>
          <cell r="R6">
            <v>0.462048555247856</v>
          </cell>
          <cell r="S6">
            <v>0.298921698609069</v>
          </cell>
          <cell r="T6">
            <v>0.355987460379922</v>
          </cell>
          <cell r="U6">
            <v>4</v>
          </cell>
          <cell r="V6">
            <v>0.0570657617708527</v>
          </cell>
          <cell r="W6">
            <v>1524.198983</v>
          </cell>
          <cell r="X6">
            <v>6568.145436</v>
          </cell>
          <cell r="Y6">
            <v>1510.811279</v>
          </cell>
          <cell r="Z6">
            <v>1035.992328</v>
          </cell>
          <cell r="AA6">
            <v>0.16814354470631</v>
          </cell>
          <cell r="AB6">
            <v>3</v>
          </cell>
          <cell r="AC6">
            <v>1.05665927865829</v>
          </cell>
          <cell r="AD6">
            <v>11</v>
          </cell>
          <cell r="AE6">
            <v>5373.396582</v>
          </cell>
          <cell r="AF6">
            <v>6283.793239</v>
          </cell>
          <cell r="AG6">
            <v>0.169426663955845</v>
          </cell>
          <cell r="AH6">
            <v>0.0329326954370213</v>
          </cell>
          <cell r="AI6">
            <v>0.0384765222974008</v>
          </cell>
          <cell r="AJ6">
            <v>10</v>
          </cell>
          <cell r="AK6">
            <v>0.00554382686037955</v>
          </cell>
          <cell r="AL6">
            <v>815.062658</v>
          </cell>
          <cell r="AM6">
            <v>2256.144406</v>
          </cell>
          <cell r="AN6">
            <v>1.76806253342059</v>
          </cell>
          <cell r="AO6">
            <v>14</v>
          </cell>
          <cell r="AP6">
            <v>0.074719274543243</v>
          </cell>
          <cell r="AQ6">
            <v>0.1569367558709</v>
          </cell>
          <cell r="AR6">
            <v>8</v>
          </cell>
          <cell r="AS6">
            <v>377.50273</v>
          </cell>
          <cell r="AT6">
            <v>1570.813013</v>
          </cell>
          <cell r="AU6">
            <v>0.1941109932632</v>
          </cell>
          <cell r="AV6">
            <v>11</v>
          </cell>
          <cell r="AW6">
            <v>3.16106398223928</v>
          </cell>
          <cell r="AX6">
            <v>18</v>
          </cell>
          <cell r="AY6">
            <v>11137.634288</v>
          </cell>
          <cell r="AZ6">
            <v>12495.647751</v>
          </cell>
          <cell r="BA6">
            <v>0.121930153916363</v>
          </cell>
          <cell r="BB6">
            <v>0.0613038106088463</v>
          </cell>
          <cell r="BC6">
            <v>0.0671638923585434</v>
          </cell>
          <cell r="BD6">
            <v>11</v>
          </cell>
          <cell r="BE6">
            <v>0.0058600817496971</v>
          </cell>
          <cell r="BF6">
            <v>27880.596729</v>
          </cell>
          <cell r="BG6">
            <v>29229.938591</v>
          </cell>
          <cell r="BH6">
            <v>0.903031234670958</v>
          </cell>
          <cell r="BI6">
            <v>0.961948280448952</v>
          </cell>
          <cell r="BJ6">
            <v>10</v>
          </cell>
        </row>
        <row r="7">
          <cell r="B7" t="str">
            <v>南充</v>
          </cell>
          <cell r="C7">
            <v>179641.910012241</v>
          </cell>
          <cell r="D7">
            <v>12469.678737241</v>
          </cell>
          <cell r="E7">
            <v>184491.848760375</v>
          </cell>
          <cell r="F7">
            <v>16842.1827603748</v>
          </cell>
          <cell r="G7">
            <v>0.0269978133042759</v>
          </cell>
          <cell r="H7">
            <v>0.350650896087259</v>
          </cell>
          <cell r="I7">
            <v>13775.582795</v>
          </cell>
          <cell r="J7">
            <v>19561.608505</v>
          </cell>
          <cell r="K7">
            <v>0.420020393772386</v>
          </cell>
          <cell r="L7">
            <v>0.0766835689626175</v>
          </cell>
          <cell r="M7">
            <v>0.106029662754409</v>
          </cell>
          <cell r="N7">
            <v>12</v>
          </cell>
          <cell r="O7">
            <v>0.0293460937917916</v>
          </cell>
          <cell r="P7">
            <v>6959.266948</v>
          </cell>
          <cell r="Q7">
            <v>10678.083326</v>
          </cell>
          <cell r="R7">
            <v>0.534368979633514</v>
          </cell>
          <cell r="S7">
            <v>0.558095127761069</v>
          </cell>
          <cell r="T7">
            <v>0.634008280157291</v>
          </cell>
          <cell r="U7">
            <v>19</v>
          </cell>
          <cell r="V7">
            <v>0.0759131523962219</v>
          </cell>
          <cell r="W7">
            <v>1230.032724</v>
          </cell>
          <cell r="X7">
            <v>9448.050602</v>
          </cell>
          <cell r="Y7">
            <v>824.387369</v>
          </cell>
          <cell r="Z7">
            <v>832.267076</v>
          </cell>
          <cell r="AA7">
            <v>0.248676122062224</v>
          </cell>
          <cell r="AB7">
            <v>0</v>
          </cell>
          <cell r="AC7">
            <v>1.89203099070248</v>
          </cell>
          <cell r="AD7">
            <v>15</v>
          </cell>
          <cell r="AE7">
            <v>6816.315847</v>
          </cell>
          <cell r="AF7">
            <v>8883.525179</v>
          </cell>
          <cell r="AG7">
            <v>0.303273700691235</v>
          </cell>
          <cell r="AH7">
            <v>0.0407742110936301</v>
          </cell>
          <cell r="AI7">
            <v>0.0529886243793649</v>
          </cell>
          <cell r="AJ7">
            <v>18</v>
          </cell>
          <cell r="AK7">
            <v>0.0122144132857349</v>
          </cell>
          <cell r="AL7">
            <v>2750.382983</v>
          </cell>
          <cell r="AM7">
            <v>3941.55672</v>
          </cell>
          <cell r="AN7">
            <v>0.433093770708514</v>
          </cell>
          <cell r="AO7">
            <v>6</v>
          </cell>
          <cell r="AP7">
            <v>0.199656379256657</v>
          </cell>
          <cell r="AQ7">
            <v>0.201494509973069</v>
          </cell>
          <cell r="AR7">
            <v>14</v>
          </cell>
          <cell r="AS7">
            <v>2438.971537</v>
          </cell>
          <cell r="AT7">
            <v>3067.260142</v>
          </cell>
          <cell r="AU7">
            <v>0.287248193178222</v>
          </cell>
          <cell r="AV7">
            <v>17</v>
          </cell>
          <cell r="AW7">
            <v>0.257603910282943</v>
          </cell>
          <cell r="AX7">
            <v>6</v>
          </cell>
          <cell r="AY7">
            <v>7706.417541</v>
          </cell>
          <cell r="AZ7">
            <v>9912.539714</v>
          </cell>
          <cell r="BA7">
            <v>0.286270781626209</v>
          </cell>
          <cell r="BB7">
            <v>0.0428987731230139</v>
          </cell>
          <cell r="BC7">
            <v>0.0537288762652858</v>
          </cell>
          <cell r="BD7">
            <v>17</v>
          </cell>
          <cell r="BE7">
            <v>0.0108301031422719</v>
          </cell>
          <cell r="BF7">
            <v>29560.440078</v>
          </cell>
          <cell r="BG7">
            <v>30202.631809</v>
          </cell>
          <cell r="BH7">
            <v>0.948666296924326</v>
          </cell>
          <cell r="BI7">
            <v>0.989974229498954</v>
          </cell>
          <cell r="BJ7">
            <v>9</v>
          </cell>
        </row>
        <row r="8">
          <cell r="B8" t="str">
            <v>泸州</v>
          </cell>
          <cell r="C8">
            <v>162553.548497828</v>
          </cell>
          <cell r="D8">
            <v>16331.3692348284</v>
          </cell>
          <cell r="E8">
            <v>164815.203855653</v>
          </cell>
          <cell r="F8">
            <v>18361.203855653</v>
          </cell>
          <cell r="G8">
            <v>0.0139132942880988</v>
          </cell>
          <cell r="H8">
            <v>0.124290535082371</v>
          </cell>
          <cell r="I8">
            <v>12522.228801</v>
          </cell>
          <cell r="J8">
            <v>13657.438266</v>
          </cell>
          <cell r="K8">
            <v>0.0906555440760948</v>
          </cell>
          <cell r="L8">
            <v>0.0770344844312477</v>
          </cell>
          <cell r="M8">
            <v>0.082865160170304</v>
          </cell>
          <cell r="N8">
            <v>6</v>
          </cell>
          <cell r="O8">
            <v>0.00583067573905634</v>
          </cell>
          <cell r="P8">
            <v>7588.030272</v>
          </cell>
          <cell r="Q8">
            <v>9443.863746</v>
          </cell>
          <cell r="R8">
            <v>0.244573809997578</v>
          </cell>
          <cell r="S8">
            <v>0.464629154046539</v>
          </cell>
          <cell r="T8">
            <v>0.51433793885429</v>
          </cell>
          <cell r="U8">
            <v>13</v>
          </cell>
          <cell r="V8">
            <v>0.0497087848077503</v>
          </cell>
          <cell r="W8">
            <v>1877.812156</v>
          </cell>
          <cell r="X8">
            <v>7566.05159</v>
          </cell>
          <cell r="Y8">
            <v>835.746804</v>
          </cell>
          <cell r="Z8">
            <v>1837.391656</v>
          </cell>
          <cell r="AA8">
            <v>0.374477881541102</v>
          </cell>
          <cell r="AB8">
            <v>19</v>
          </cell>
          <cell r="AC8">
            <v>0.686303649097084</v>
          </cell>
          <cell r="AD8">
            <v>4</v>
          </cell>
          <cell r="AE8">
            <v>4934.198529</v>
          </cell>
          <cell r="AF8">
            <v>4213.57452</v>
          </cell>
          <cell r="AG8">
            <v>-0.146046820930419</v>
          </cell>
          <cell r="AH8">
            <v>0.0337445287292922</v>
          </cell>
          <cell r="AI8">
            <v>0.0287706346019911</v>
          </cell>
          <cell r="AJ8">
            <v>6</v>
          </cell>
          <cell r="AK8">
            <v>-0.00497389412730111</v>
          </cell>
          <cell r="AL8">
            <v>1848.005421</v>
          </cell>
          <cell r="AM8">
            <v>4136.887631</v>
          </cell>
          <cell r="AN8">
            <v>1.23856899118912</v>
          </cell>
          <cell r="AO8">
            <v>12</v>
          </cell>
          <cell r="AP8">
            <v>0.147577995129144</v>
          </cell>
          <cell r="AQ8">
            <v>0.302903630272942</v>
          </cell>
          <cell r="AR8">
            <v>19</v>
          </cell>
          <cell r="AS8">
            <v>1192.049621</v>
          </cell>
          <cell r="AT8">
            <v>3004.146945</v>
          </cell>
          <cell r="AU8">
            <v>0.318105706075273</v>
          </cell>
          <cell r="AV8">
            <v>19</v>
          </cell>
          <cell r="AW8">
            <v>1.520152594386</v>
          </cell>
          <cell r="AX8">
            <v>11</v>
          </cell>
          <cell r="AY8">
            <v>7850.162419</v>
          </cell>
          <cell r="AZ8">
            <v>8176.611537</v>
          </cell>
          <cell r="BA8">
            <v>0.0415850144972649</v>
          </cell>
          <cell r="BB8">
            <v>0.048292777927914</v>
          </cell>
          <cell r="BC8">
            <v>0.0496107843555572</v>
          </cell>
          <cell r="BD8">
            <v>19</v>
          </cell>
          <cell r="BE8">
            <v>0.00131800642764322</v>
          </cell>
          <cell r="BF8">
            <v>24784.981928</v>
          </cell>
          <cell r="BG8">
            <v>24775.508351</v>
          </cell>
          <cell r="BH8">
            <v>0.897877134823078</v>
          </cell>
          <cell r="BI8">
            <v>0.92939689308782</v>
          </cell>
          <cell r="BJ8">
            <v>12</v>
          </cell>
        </row>
        <row r="9">
          <cell r="B9" t="str">
            <v>凉山</v>
          </cell>
          <cell r="C9">
            <v>140988.952175012</v>
          </cell>
          <cell r="D9">
            <v>21848.2972250117</v>
          </cell>
          <cell r="E9">
            <v>143570.11985534</v>
          </cell>
          <cell r="F9">
            <v>24548.1198553395</v>
          </cell>
          <cell r="G9">
            <v>0.0183075882224015</v>
          </cell>
          <cell r="H9">
            <v>0.123571306382498</v>
          </cell>
          <cell r="I9">
            <v>9388.606217</v>
          </cell>
          <cell r="J9">
            <v>15729.877399</v>
          </cell>
          <cell r="K9">
            <v>0.675421999329126</v>
          </cell>
          <cell r="L9">
            <v>0.0665910773302703</v>
          </cell>
          <cell r="M9">
            <v>0.109562333825794</v>
          </cell>
          <cell r="N9">
            <v>14</v>
          </cell>
          <cell r="O9">
            <v>0.0429712564955236</v>
          </cell>
          <cell r="P9">
            <v>6076.602572</v>
          </cell>
          <cell r="Q9">
            <v>9593.077259</v>
          </cell>
          <cell r="R9">
            <v>0.578690912452189</v>
          </cell>
          <cell r="S9">
            <v>0.278127055368121</v>
          </cell>
          <cell r="T9">
            <v>0.390786639283635</v>
          </cell>
          <cell r="U9">
            <v>6</v>
          </cell>
          <cell r="V9">
            <v>0.112659583915514</v>
          </cell>
          <cell r="W9">
            <v>2341.495175</v>
          </cell>
          <cell r="X9">
            <v>7251.582084</v>
          </cell>
          <cell r="Y9">
            <v>1629.212721</v>
          </cell>
          <cell r="Z9">
            <v>522.121388</v>
          </cell>
          <cell r="AA9">
            <v>0.239532377081982</v>
          </cell>
          <cell r="AB9">
            <v>9</v>
          </cell>
          <cell r="AC9">
            <v>2.31478166146299</v>
          </cell>
          <cell r="AD9">
            <v>17</v>
          </cell>
          <cell r="AE9">
            <v>3312.003645</v>
          </cell>
          <cell r="AF9">
            <v>6136.80014</v>
          </cell>
          <cell r="AG9">
            <v>0.852896553801951</v>
          </cell>
          <cell r="AH9">
            <v>0.027799105573072</v>
          </cell>
          <cell r="AI9">
            <v>0.0515602169346841</v>
          </cell>
          <cell r="AJ9">
            <v>17</v>
          </cell>
          <cell r="AK9">
            <v>0.0237611113616121</v>
          </cell>
          <cell r="AL9">
            <v>557.06131</v>
          </cell>
          <cell r="AM9">
            <v>2401.091691</v>
          </cell>
          <cell r="AN9">
            <v>3.31028263477857</v>
          </cell>
          <cell r="AO9">
            <v>0</v>
          </cell>
          <cell r="AP9">
            <v>0.0593337602115345</v>
          </cell>
          <cell r="AQ9">
            <v>0.152645289603633</v>
          </cell>
          <cell r="AR9">
            <v>7</v>
          </cell>
          <cell r="AS9">
            <v>210.263309</v>
          </cell>
          <cell r="AT9">
            <v>1943.241998</v>
          </cell>
          <cell r="AU9">
            <v>0.202567116425222</v>
          </cell>
          <cell r="AV9">
            <v>13</v>
          </cell>
          <cell r="AW9">
            <v>8.24194528870465</v>
          </cell>
          <cell r="AX9">
            <v>21</v>
          </cell>
          <cell r="AY9">
            <v>10845.588634</v>
          </cell>
          <cell r="AZ9">
            <v>10805.972661</v>
          </cell>
          <cell r="BA9">
            <v>-0.0036527268677522</v>
          </cell>
          <cell r="BB9">
            <v>0.0769250956666249</v>
          </cell>
          <cell r="BC9">
            <v>0.0752661673047846</v>
          </cell>
          <cell r="BD9">
            <v>7</v>
          </cell>
          <cell r="BE9">
            <v>-0.00165892836184027</v>
          </cell>
          <cell r="BF9">
            <v>16824.856886</v>
          </cell>
          <cell r="BG9">
            <v>16426.600029</v>
          </cell>
          <cell r="BH9">
            <v>0.701056757690669</v>
          </cell>
          <cell r="BI9">
            <v>0.755964436796519</v>
          </cell>
          <cell r="BJ9">
            <v>18</v>
          </cell>
        </row>
        <row r="10">
          <cell r="B10" t="str">
            <v>宜宾</v>
          </cell>
          <cell r="C10">
            <v>140557.378816239</v>
          </cell>
          <cell r="D10">
            <v>15542.302543239</v>
          </cell>
          <cell r="E10">
            <v>143827.876373017</v>
          </cell>
          <cell r="F10">
            <v>17370.9633730166</v>
          </cell>
          <cell r="G10">
            <v>0.0232680602350572</v>
          </cell>
          <cell r="H10">
            <v>0.117657008972141</v>
          </cell>
          <cell r="I10">
            <v>6946.304308</v>
          </cell>
          <cell r="J10">
            <v>14258.01837</v>
          </cell>
          <cell r="K10">
            <v>1.0526049159089</v>
          </cell>
          <cell r="L10">
            <v>0.0494197057920482</v>
          </cell>
          <cell r="M10">
            <v>0.0991325098412904</v>
          </cell>
          <cell r="N10">
            <v>9</v>
          </cell>
          <cell r="O10">
            <v>0.0497128040492422</v>
          </cell>
          <cell r="P10">
            <v>3982.856101</v>
          </cell>
          <cell r="Q10">
            <v>8980.274032</v>
          </cell>
          <cell r="R10">
            <v>1.25473223342045</v>
          </cell>
          <cell r="S10">
            <v>0.256259076795064</v>
          </cell>
          <cell r="T10">
            <v>0.51697040855832</v>
          </cell>
          <cell r="U10">
            <v>14</v>
          </cell>
          <cell r="V10">
            <v>0.260711331763256</v>
          </cell>
          <cell r="W10">
            <v>1655.615911</v>
          </cell>
          <cell r="X10">
            <v>7324.658121</v>
          </cell>
          <cell r="Y10">
            <v>877.425718</v>
          </cell>
          <cell r="Z10">
            <v>1266.678133</v>
          </cell>
          <cell r="AA10">
            <v>0.314483584770724</v>
          </cell>
          <cell r="AB10">
            <v>14</v>
          </cell>
          <cell r="AC10">
            <v>0.963762081065309</v>
          </cell>
          <cell r="AD10">
            <v>9</v>
          </cell>
          <cell r="AE10">
            <v>2963.448207</v>
          </cell>
          <cell r="AF10">
            <v>5277.744338</v>
          </cell>
          <cell r="AG10">
            <v>0.780947048621728</v>
          </cell>
          <cell r="AH10">
            <v>0.0237047266245601</v>
          </cell>
          <cell r="AI10">
            <v>0.0417355145938125</v>
          </cell>
          <cell r="AJ10">
            <v>14</v>
          </cell>
          <cell r="AK10">
            <v>0.0180307879692524</v>
          </cell>
          <cell r="AL10">
            <v>635.966021</v>
          </cell>
          <cell r="AM10">
            <v>2048.848598</v>
          </cell>
          <cell r="AN10">
            <v>2.22163217899341</v>
          </cell>
          <cell r="AO10">
            <v>19</v>
          </cell>
          <cell r="AP10">
            <v>0.0915545868423247</v>
          </cell>
          <cell r="AQ10">
            <v>0.143697991181646</v>
          </cell>
          <cell r="AR10">
            <v>5</v>
          </cell>
          <cell r="AS10">
            <v>237.895111</v>
          </cell>
          <cell r="AT10">
            <v>1572.302339</v>
          </cell>
          <cell r="AU10">
            <v>0.175084004496668</v>
          </cell>
          <cell r="AV10">
            <v>10</v>
          </cell>
          <cell r="AW10">
            <v>5.60922510088911</v>
          </cell>
          <cell r="AX10">
            <v>20</v>
          </cell>
          <cell r="AY10">
            <v>7330.270083</v>
          </cell>
          <cell r="AZ10">
            <v>7029.475315</v>
          </cell>
          <cell r="BA10">
            <v>-0.0410346091745772</v>
          </cell>
          <cell r="BB10">
            <v>0.0521514426687154</v>
          </cell>
          <cell r="BC10">
            <v>0.0488742202990544</v>
          </cell>
          <cell r="BD10">
            <v>20</v>
          </cell>
          <cell r="BE10">
            <v>-0.00327722236966096</v>
          </cell>
          <cell r="BF10">
            <v>23393.046084</v>
          </cell>
          <cell r="BG10">
            <v>24069.072693</v>
          </cell>
          <cell r="BH10">
            <v>0.96384241473861</v>
          </cell>
          <cell r="BI10">
            <v>0.998576424596298</v>
          </cell>
          <cell r="BJ10">
            <v>7</v>
          </cell>
        </row>
        <row r="11">
          <cell r="B11" t="str">
            <v>达州</v>
          </cell>
          <cell r="C11">
            <v>120354.808731422</v>
          </cell>
          <cell r="D11">
            <v>12304.329956422</v>
          </cell>
          <cell r="E11">
            <v>122765.279060519</v>
          </cell>
          <cell r="F11">
            <v>14143.315060519</v>
          </cell>
          <cell r="G11">
            <v>0.0200280350615327</v>
          </cell>
          <cell r="H11">
            <v>0.149458370395633</v>
          </cell>
          <cell r="I11">
            <v>10016.414965</v>
          </cell>
          <cell r="J11">
            <v>12842.697555</v>
          </cell>
          <cell r="K11">
            <v>0.282165085998911</v>
          </cell>
          <cell r="L11">
            <v>0.0832240528698122</v>
          </cell>
          <cell r="M11">
            <v>0.104611805986846</v>
          </cell>
          <cell r="N11">
            <v>11</v>
          </cell>
          <cell r="O11">
            <v>0.0213877531170336</v>
          </cell>
          <cell r="P11">
            <v>5015.904577</v>
          </cell>
          <cell r="Q11">
            <v>6984.480756</v>
          </cell>
          <cell r="R11">
            <v>0.39246683201007</v>
          </cell>
          <cell r="S11">
            <v>0.407653614196363</v>
          </cell>
          <cell r="T11">
            <v>0.493836185230515</v>
          </cell>
          <cell r="U11">
            <v>11</v>
          </cell>
          <cell r="V11">
            <v>0.0861825710341529</v>
          </cell>
          <cell r="W11">
            <v>1509.37037</v>
          </cell>
          <cell r="X11">
            <v>5475.110386</v>
          </cell>
          <cell r="Y11">
            <v>1055.300898</v>
          </cell>
          <cell r="Z11">
            <v>463.140224</v>
          </cell>
          <cell r="AA11">
            <v>0.238379147416715</v>
          </cell>
          <cell r="AB11">
            <v>8</v>
          </cell>
          <cell r="AC11">
            <v>1.97028534853986</v>
          </cell>
          <cell r="AD11">
            <v>16</v>
          </cell>
          <cell r="AE11">
            <v>5000.510388</v>
          </cell>
          <cell r="AF11">
            <v>5858.216799</v>
          </cell>
          <cell r="AG11">
            <v>0.171523773464862</v>
          </cell>
          <cell r="AH11">
            <v>0.0462793913057328</v>
          </cell>
          <cell r="AI11">
            <v>0.0539321568426069</v>
          </cell>
          <cell r="AJ11">
            <v>19</v>
          </cell>
          <cell r="AK11">
            <v>0.00765276553687411</v>
          </cell>
          <cell r="AL11">
            <v>1791.299869</v>
          </cell>
          <cell r="AM11">
            <v>5251.864414</v>
          </cell>
          <cell r="AN11">
            <v>1.9318733869678</v>
          </cell>
          <cell r="AO11">
            <v>18</v>
          </cell>
          <cell r="AP11">
            <v>0.178836427530137</v>
          </cell>
          <cell r="AQ11">
            <v>0.408937794533307</v>
          </cell>
          <cell r="AR11">
            <v>21</v>
          </cell>
          <cell r="AS11">
            <v>1080.549172</v>
          </cell>
          <cell r="AT11">
            <v>3721.602806</v>
          </cell>
          <cell r="AU11">
            <v>0.532838866053567</v>
          </cell>
          <cell r="AV11">
            <v>21</v>
          </cell>
          <cell r="AW11">
            <v>2.44417718548768</v>
          </cell>
          <cell r="AX11">
            <v>15</v>
          </cell>
          <cell r="AY11">
            <v>6801.357661</v>
          </cell>
          <cell r="AZ11">
            <v>8463.830615</v>
          </cell>
          <cell r="BA11">
            <v>0.244432514339434</v>
          </cell>
          <cell r="BB11">
            <v>0.0565108925242662</v>
          </cell>
          <cell r="BC11">
            <v>0.0689431953380534</v>
          </cell>
          <cell r="BD11">
            <v>10</v>
          </cell>
          <cell r="BE11">
            <v>0.0124323028137873</v>
          </cell>
          <cell r="BF11">
            <v>19778.61511</v>
          </cell>
          <cell r="BG11">
            <v>21257.249567</v>
          </cell>
          <cell r="BH11">
            <v>0.938332097651459</v>
          </cell>
          <cell r="BI11">
            <v>1.08669577950616</v>
          </cell>
          <cell r="BJ11">
            <v>1</v>
          </cell>
        </row>
        <row r="12">
          <cell r="B12" t="str">
            <v>乐山</v>
          </cell>
          <cell r="C12">
            <v>120556.022918018</v>
          </cell>
          <cell r="D12">
            <v>16066.6248020181</v>
          </cell>
          <cell r="E12">
            <v>122400.418012181</v>
          </cell>
          <cell r="F12">
            <v>18070.4180121814</v>
          </cell>
          <cell r="G12">
            <v>0.0152990705028255</v>
          </cell>
          <cell r="H12">
            <v>0.124717744694679</v>
          </cell>
          <cell r="I12">
            <v>12485.6084</v>
          </cell>
          <cell r="J12">
            <v>14479.409168</v>
          </cell>
          <cell r="K12">
            <v>0.159687914607349</v>
          </cell>
          <cell r="L12">
            <v>0.103566857115804</v>
          </cell>
          <cell r="M12">
            <v>0.118295422541441</v>
          </cell>
          <cell r="N12">
            <v>17</v>
          </cell>
          <cell r="O12">
            <v>0.0147285654256371</v>
          </cell>
          <cell r="P12">
            <v>9145.535593</v>
          </cell>
          <cell r="Q12">
            <v>10884.226935</v>
          </cell>
          <cell r="R12">
            <v>0.190113670688767</v>
          </cell>
          <cell r="S12">
            <v>0.569225690255196</v>
          </cell>
          <cell r="T12">
            <v>0.60232291957291</v>
          </cell>
          <cell r="U12">
            <v>18</v>
          </cell>
          <cell r="V12">
            <v>0.0330972293177142</v>
          </cell>
          <cell r="W12">
            <v>1542.44682</v>
          </cell>
          <cell r="X12">
            <v>9341.780115</v>
          </cell>
          <cell r="Y12">
            <v>805.141985</v>
          </cell>
          <cell r="Z12">
            <v>568.056371</v>
          </cell>
          <cell r="AA12">
            <v>0.31929085153844</v>
          </cell>
          <cell r="AB12">
            <v>15</v>
          </cell>
          <cell r="AC12">
            <v>2.74086064690928</v>
          </cell>
          <cell r="AD12">
            <v>20</v>
          </cell>
          <cell r="AE12">
            <v>3340.072807</v>
          </cell>
          <cell r="AF12">
            <v>3595.182233</v>
          </cell>
          <cell r="AG12">
            <v>0.07637840272983</v>
          </cell>
          <cell r="AH12">
            <v>0.0319656622319901</v>
          </cell>
          <cell r="AI12">
            <v>0.0344597166011695</v>
          </cell>
          <cell r="AJ12">
            <v>7</v>
          </cell>
          <cell r="AK12">
            <v>0.00249405436917936</v>
          </cell>
          <cell r="AL12">
            <v>1795.875573</v>
          </cell>
          <cell r="AM12">
            <v>3495.290414</v>
          </cell>
          <cell r="AN12">
            <v>0.946287630696562</v>
          </cell>
          <cell r="AO12">
            <v>9</v>
          </cell>
          <cell r="AP12">
            <v>0.143835647848766</v>
          </cell>
          <cell r="AQ12">
            <v>0.24139730934082</v>
          </cell>
          <cell r="AR12">
            <v>16</v>
          </cell>
          <cell r="AS12">
            <v>1439.421181</v>
          </cell>
          <cell r="AT12">
            <v>2951.689606</v>
          </cell>
          <cell r="AU12">
            <v>0.271189642004648</v>
          </cell>
          <cell r="AV12">
            <v>15</v>
          </cell>
          <cell r="AW12">
            <v>1.05060870644504</v>
          </cell>
          <cell r="AX12">
            <v>8</v>
          </cell>
          <cell r="AY12">
            <v>6949.496829</v>
          </cell>
          <cell r="AZ12">
            <v>6880.395749</v>
          </cell>
          <cell r="BA12">
            <v>-0.00994332132243636</v>
          </cell>
          <cell r="BB12">
            <v>0.0576453723405083</v>
          </cell>
          <cell r="BC12">
            <v>0.056212191598196</v>
          </cell>
          <cell r="BD12">
            <v>16</v>
          </cell>
          <cell r="BE12">
            <v>-0.00143318074231229</v>
          </cell>
          <cell r="BF12">
            <v>18122.265094</v>
          </cell>
          <cell r="BG12">
            <v>19664.989001</v>
          </cell>
          <cell r="BH12">
            <v>0.859527243447216</v>
          </cell>
          <cell r="BI12">
            <v>1.04282819659685</v>
          </cell>
          <cell r="BJ12">
            <v>2</v>
          </cell>
        </row>
        <row r="13">
          <cell r="B13" t="str">
            <v>眉山</v>
          </cell>
          <cell r="C13">
            <v>120948.418683953</v>
          </cell>
          <cell r="D13">
            <v>19113.5978109531</v>
          </cell>
          <cell r="E13">
            <v>121392.756101869</v>
          </cell>
          <cell r="F13">
            <v>21043.9591018691</v>
          </cell>
          <cell r="G13">
            <v>0.00367377616632658</v>
          </cell>
          <cell r="H13">
            <v>0.100994135693794</v>
          </cell>
          <cell r="I13">
            <v>4685.947668</v>
          </cell>
          <cell r="J13">
            <v>12474.00068</v>
          </cell>
          <cell r="K13">
            <v>1.6620017046251</v>
          </cell>
          <cell r="L13">
            <v>0.038743356209102</v>
          </cell>
          <cell r="M13">
            <v>0.102757372684843</v>
          </cell>
          <cell r="N13">
            <v>10</v>
          </cell>
          <cell r="O13">
            <v>0.064014016475741</v>
          </cell>
          <cell r="P13">
            <v>2169.381448</v>
          </cell>
          <cell r="Q13">
            <v>8494.694868</v>
          </cell>
          <cell r="R13">
            <v>2.91572209480792</v>
          </cell>
          <cell r="S13">
            <v>0.113499377221217</v>
          </cell>
          <cell r="T13">
            <v>0.403664292773004</v>
          </cell>
          <cell r="U13">
            <v>7</v>
          </cell>
          <cell r="V13">
            <v>0.290164915551786</v>
          </cell>
          <cell r="W13">
            <v>763.564301</v>
          </cell>
          <cell r="X13">
            <v>7731.130567</v>
          </cell>
          <cell r="Y13">
            <v>689.043646</v>
          </cell>
          <cell r="Z13">
            <v>1374.950103</v>
          </cell>
          <cell r="AA13">
            <v>0.184691808090969</v>
          </cell>
          <cell r="AB13">
            <v>4</v>
          </cell>
          <cell r="AC13">
            <v>0.93714074303878</v>
          </cell>
          <cell r="AD13">
            <v>7</v>
          </cell>
          <cell r="AE13">
            <v>2516.56622</v>
          </cell>
          <cell r="AF13">
            <v>3979.305812</v>
          </cell>
          <cell r="AG13">
            <v>0.581244228892177</v>
          </cell>
          <cell r="AH13">
            <v>0.0247122369188282</v>
          </cell>
          <cell r="AI13">
            <v>0.0396547435640908</v>
          </cell>
          <cell r="AJ13">
            <v>12</v>
          </cell>
          <cell r="AK13">
            <v>0.0149425066452626</v>
          </cell>
          <cell r="AL13">
            <v>229.486724</v>
          </cell>
          <cell r="AM13">
            <v>868.745069</v>
          </cell>
          <cell r="AN13">
            <v>2.78560055177745</v>
          </cell>
          <cell r="AO13">
            <v>20</v>
          </cell>
          <cell r="AP13">
            <v>0.0489733860169093</v>
          </cell>
          <cell r="AQ13">
            <v>0.0696444622127438</v>
          </cell>
          <cell r="AR13">
            <v>1</v>
          </cell>
          <cell r="AS13">
            <v>121.256457</v>
          </cell>
          <cell r="AT13">
            <v>574.545653</v>
          </cell>
          <cell r="AU13">
            <v>0.0676358199944704</v>
          </cell>
          <cell r="AV13">
            <v>2</v>
          </cell>
          <cell r="AW13">
            <v>3.73826851958902</v>
          </cell>
          <cell r="AX13">
            <v>19</v>
          </cell>
          <cell r="AY13">
            <v>7722.519329</v>
          </cell>
          <cell r="AZ13">
            <v>7005.963412</v>
          </cell>
          <cell r="BA13">
            <v>-0.0927878437686976</v>
          </cell>
          <cell r="BB13">
            <v>0.063849692398042</v>
          </cell>
          <cell r="BC13">
            <v>0.0577131917667378</v>
          </cell>
          <cell r="BD13">
            <v>15</v>
          </cell>
          <cell r="BE13">
            <v>-0.00613650063130421</v>
          </cell>
          <cell r="BF13">
            <v>15886.505208</v>
          </cell>
          <cell r="BG13">
            <v>18495.817399</v>
          </cell>
          <cell r="BH13">
            <v>0.772757052853794</v>
          </cell>
          <cell r="BI13">
            <v>1.01089060470997</v>
          </cell>
          <cell r="BJ13">
            <v>6</v>
          </cell>
        </row>
        <row r="14">
          <cell r="B14" t="str">
            <v>德阳</v>
          </cell>
          <cell r="C14">
            <v>108454.177515746</v>
          </cell>
          <cell r="D14">
            <v>14837.5039077463</v>
          </cell>
          <cell r="E14">
            <v>112086.049165461</v>
          </cell>
          <cell r="F14">
            <v>18088.0491654614</v>
          </cell>
          <cell r="G14">
            <v>0.0334876141510334</v>
          </cell>
          <cell r="H14">
            <v>0.219076286545614</v>
          </cell>
          <cell r="I14">
            <v>10204.379958</v>
          </cell>
          <cell r="J14">
            <v>13032.556048</v>
          </cell>
          <cell r="K14">
            <v>0.277153154002539</v>
          </cell>
          <cell r="L14">
            <v>0.0940893213312919</v>
          </cell>
          <cell r="M14">
            <v>0.116272775649014</v>
          </cell>
          <cell r="N14">
            <v>16</v>
          </cell>
          <cell r="O14">
            <v>0.0221834543177221</v>
          </cell>
          <cell r="P14">
            <v>7272.036242</v>
          </cell>
          <cell r="Q14">
            <v>9532.109531</v>
          </cell>
          <cell r="R14">
            <v>0.310789607448164</v>
          </cell>
          <cell r="S14">
            <v>0.490111833312033</v>
          </cell>
          <cell r="T14">
            <v>0.526983835780438</v>
          </cell>
          <cell r="U14">
            <v>15</v>
          </cell>
          <cell r="V14">
            <v>0.0368720024684046</v>
          </cell>
          <cell r="W14">
            <v>2779.502353</v>
          </cell>
          <cell r="X14">
            <v>6752.607178</v>
          </cell>
          <cell r="Y14">
            <v>1390.878191</v>
          </cell>
          <cell r="Z14">
            <v>708.825491</v>
          </cell>
          <cell r="AA14">
            <v>0.333063236712054</v>
          </cell>
          <cell r="AB14">
            <v>16</v>
          </cell>
          <cell r="AC14">
            <v>1.58774556496116</v>
          </cell>
          <cell r="AD14">
            <v>14</v>
          </cell>
          <cell r="AE14">
            <v>2932.343716</v>
          </cell>
          <cell r="AF14">
            <v>3500.446517</v>
          </cell>
          <cell r="AG14">
            <v>0.193736770317958</v>
          </cell>
          <cell r="AH14">
            <v>0.0313228787457091</v>
          </cell>
          <cell r="AI14">
            <v>0.0372395850656399</v>
          </cell>
          <cell r="AJ14">
            <v>9</v>
          </cell>
          <cell r="AK14">
            <v>0.00591670631993076</v>
          </cell>
          <cell r="AL14">
            <v>893.659493</v>
          </cell>
          <cell r="AM14">
            <v>2520.768724</v>
          </cell>
          <cell r="AN14">
            <v>1.82072617562403</v>
          </cell>
          <cell r="AO14">
            <v>15</v>
          </cell>
          <cell r="AP14">
            <v>0.0875760699501778</v>
          </cell>
          <cell r="AQ14">
            <v>0.193420900298897</v>
          </cell>
          <cell r="AR14">
            <v>12</v>
          </cell>
          <cell r="AS14">
            <v>638.043806</v>
          </cell>
          <cell r="AT14">
            <v>1916.348291</v>
          </cell>
          <cell r="AU14">
            <v>0.201041362855485</v>
          </cell>
          <cell r="AV14">
            <v>12</v>
          </cell>
          <cell r="AW14">
            <v>2.00347448400745</v>
          </cell>
          <cell r="AX14">
            <v>13</v>
          </cell>
          <cell r="AY14">
            <v>8445.110339</v>
          </cell>
          <cell r="AZ14">
            <v>8263.215089</v>
          </cell>
          <cell r="BA14">
            <v>-0.0215385285328954</v>
          </cell>
          <cell r="BB14">
            <v>0.0778680040957748</v>
          </cell>
          <cell r="BC14">
            <v>0.0737220657746788</v>
          </cell>
          <cell r="BD14">
            <v>8</v>
          </cell>
          <cell r="BE14">
            <v>-0.00414593832109601</v>
          </cell>
          <cell r="BF14">
            <v>14697.057069</v>
          </cell>
          <cell r="BG14">
            <v>14271.846667</v>
          </cell>
          <cell r="BH14">
            <v>0.782370138468906</v>
          </cell>
          <cell r="BI14">
            <v>0.814109109468514</v>
          </cell>
          <cell r="BJ14">
            <v>16</v>
          </cell>
        </row>
        <row r="15">
          <cell r="B15" t="str">
            <v>内江</v>
          </cell>
          <cell r="C15">
            <v>87486.8093159926</v>
          </cell>
          <cell r="D15">
            <v>8336.97699699262</v>
          </cell>
          <cell r="E15">
            <v>88473.8785944045</v>
          </cell>
          <cell r="F15">
            <v>9659.87859440452</v>
          </cell>
          <cell r="G15">
            <v>0.0112824925966462</v>
          </cell>
          <cell r="H15">
            <v>0.158678811023361</v>
          </cell>
          <cell r="I15">
            <v>6492.318716</v>
          </cell>
          <cell r="J15">
            <v>6998.630388</v>
          </cell>
          <cell r="K15">
            <v>0.0779862625585863</v>
          </cell>
          <cell r="L15">
            <v>0.0742091152570266</v>
          </cell>
          <cell r="M15">
            <v>0.0791039174408098</v>
          </cell>
          <cell r="N15">
            <v>5</v>
          </cell>
          <cell r="O15">
            <v>0.00489480218378321</v>
          </cell>
          <cell r="P15">
            <v>3954.635432</v>
          </cell>
          <cell r="Q15">
            <v>4179.361471</v>
          </cell>
          <cell r="R15">
            <v>0.0568259812729055</v>
          </cell>
          <cell r="S15">
            <v>0.474348847721008</v>
          </cell>
          <cell r="T15">
            <v>0.432651552517533</v>
          </cell>
          <cell r="U15">
            <v>9</v>
          </cell>
          <cell r="V15">
            <v>-0.0416972952034751</v>
          </cell>
          <cell r="W15">
            <v>766.360262</v>
          </cell>
          <cell r="X15">
            <v>3413.001209</v>
          </cell>
          <cell r="Y15">
            <v>579.387626</v>
          </cell>
          <cell r="Z15">
            <v>753.950368</v>
          </cell>
          <cell r="AA15">
            <v>0.220451222293334</v>
          </cell>
          <cell r="AB15">
            <v>7</v>
          </cell>
          <cell r="AC15">
            <v>0.754470796721374</v>
          </cell>
          <cell r="AD15">
            <v>5</v>
          </cell>
          <cell r="AE15">
            <v>2537.683284</v>
          </cell>
          <cell r="AF15">
            <v>2819.268917</v>
          </cell>
          <cell r="AG15">
            <v>0.110961692806737</v>
          </cell>
          <cell r="AH15">
            <v>0.0320617644996681</v>
          </cell>
          <cell r="AI15">
            <v>0.035771169043571</v>
          </cell>
          <cell r="AJ15">
            <v>8</v>
          </cell>
          <cell r="AK15">
            <v>0.0037094045439028</v>
          </cell>
          <cell r="AL15">
            <v>1479.154346</v>
          </cell>
          <cell r="AM15">
            <v>943.919928</v>
          </cell>
          <cell r="AN15">
            <v>-0.361851634650168</v>
          </cell>
          <cell r="AO15">
            <v>2</v>
          </cell>
          <cell r="AP15">
            <v>0.22783144369587</v>
          </cell>
          <cell r="AQ15">
            <v>0.134872092919561</v>
          </cell>
          <cell r="AR15">
            <v>4</v>
          </cell>
          <cell r="AS15">
            <v>1213.288971</v>
          </cell>
          <cell r="AT15">
            <v>672.281711</v>
          </cell>
          <cell r="AU15">
            <v>0.160857517509521</v>
          </cell>
          <cell r="AV15">
            <v>7</v>
          </cell>
          <cell r="AW15">
            <v>-0.44590140760457</v>
          </cell>
          <cell r="AX15">
            <v>1</v>
          </cell>
          <cell r="AY15">
            <v>4416.299802</v>
          </cell>
          <cell r="AZ15">
            <v>5235.824282</v>
          </cell>
          <cell r="BA15">
            <v>0.185568126427663</v>
          </cell>
          <cell r="BB15">
            <v>0.0504796075720263</v>
          </cell>
          <cell r="BC15">
            <v>0.059179323492789</v>
          </cell>
          <cell r="BD15">
            <v>14</v>
          </cell>
          <cell r="BE15">
            <v>0.00869971592076266</v>
          </cell>
          <cell r="BF15">
            <v>14579.125703</v>
          </cell>
          <cell r="BG15">
            <v>14815.525658</v>
          </cell>
          <cell r="BH15">
            <v>1.00178094536687</v>
          </cell>
          <cell r="BI15">
            <v>1.03817626092748</v>
          </cell>
          <cell r="BJ15">
            <v>4</v>
          </cell>
        </row>
        <row r="16">
          <cell r="B16" t="str">
            <v>巴中</v>
          </cell>
          <cell r="C16">
            <v>77707.532493087</v>
          </cell>
          <cell r="D16">
            <v>7596.70859308697</v>
          </cell>
          <cell r="E16">
            <v>78754.2696767902</v>
          </cell>
          <cell r="F16">
            <v>8513.2696767902</v>
          </cell>
          <cell r="G16">
            <v>0.0134702151788995</v>
          </cell>
          <cell r="H16">
            <v>0.120652394714377</v>
          </cell>
          <cell r="I16">
            <v>9706.429366</v>
          </cell>
          <cell r="J16">
            <v>11225.369237</v>
          </cell>
          <cell r="K16">
            <v>0.156488015698192</v>
          </cell>
          <cell r="L16">
            <v>0.124909761699916</v>
          </cell>
          <cell r="M16">
            <v>0.142536643194956</v>
          </cell>
          <cell r="N16">
            <v>20</v>
          </cell>
          <cell r="O16">
            <v>0.0176268814950399</v>
          </cell>
          <cell r="P16">
            <v>6668.359306</v>
          </cell>
          <cell r="Q16">
            <v>8446.281359</v>
          </cell>
          <cell r="R16">
            <v>0.266620614069232</v>
          </cell>
          <cell r="S16">
            <v>0.87779585386074</v>
          </cell>
          <cell r="T16">
            <v>0.99213130555786</v>
          </cell>
          <cell r="U16">
            <v>21</v>
          </cell>
          <cell r="V16">
            <v>0.11433545169712</v>
          </cell>
          <cell r="W16">
            <v>1115.231069</v>
          </cell>
          <cell r="X16">
            <v>7331.05029</v>
          </cell>
          <cell r="Y16">
            <v>384.685023</v>
          </cell>
          <cell r="Z16">
            <v>228.62054</v>
          </cell>
          <cell r="AA16">
            <v>0.483179312217032</v>
          </cell>
          <cell r="AB16">
            <v>0</v>
          </cell>
          <cell r="AC16">
            <v>5.34440919000541</v>
          </cell>
          <cell r="AD16">
            <v>21</v>
          </cell>
          <cell r="AE16">
            <v>3038.07006</v>
          </cell>
          <cell r="AF16">
            <v>2779.087878</v>
          </cell>
          <cell r="AG16">
            <v>-0.0852456253099049</v>
          </cell>
          <cell r="AH16">
            <v>0.0433323970680082</v>
          </cell>
          <cell r="AI16">
            <v>0.0395650386241654</v>
          </cell>
          <cell r="AJ16">
            <v>11</v>
          </cell>
          <cell r="AK16">
            <v>-0.00376735844384282</v>
          </cell>
          <cell r="AL16">
            <v>1838.885221</v>
          </cell>
          <cell r="AM16">
            <v>3371.293933</v>
          </cell>
          <cell r="AN16">
            <v>0.833335704969484</v>
          </cell>
          <cell r="AO16">
            <v>8</v>
          </cell>
          <cell r="AP16">
            <v>0.189450224347308</v>
          </cell>
          <cell r="AQ16">
            <v>0.300328110534472</v>
          </cell>
          <cell r="AR16">
            <v>18</v>
          </cell>
          <cell r="AS16">
            <v>1075.225004</v>
          </cell>
          <cell r="AT16">
            <v>2527.311039</v>
          </cell>
          <cell r="AU16">
            <v>0.299221744052725</v>
          </cell>
          <cell r="AV16">
            <v>18</v>
          </cell>
          <cell r="AW16">
            <v>1.35049504019905</v>
          </cell>
          <cell r="AX16">
            <v>9</v>
          </cell>
          <cell r="AY16">
            <v>6332.823486</v>
          </cell>
          <cell r="AZ16">
            <v>6543.781507</v>
          </cell>
          <cell r="BA16">
            <v>0.0333118428875154</v>
          </cell>
          <cell r="BB16">
            <v>0.0814956193154554</v>
          </cell>
          <cell r="BC16">
            <v>0.0830911331392681</v>
          </cell>
          <cell r="BD16">
            <v>6</v>
          </cell>
          <cell r="BE16">
            <v>0.00159551382381269</v>
          </cell>
          <cell r="BF16">
            <v>13573.774346</v>
          </cell>
          <cell r="BG16">
            <v>12768.340291</v>
          </cell>
          <cell r="BH16">
            <v>0.991833463056697</v>
          </cell>
          <cell r="BI16">
            <v>1.04044831186076</v>
          </cell>
          <cell r="BJ16">
            <v>3</v>
          </cell>
        </row>
        <row r="17">
          <cell r="B17" t="str">
            <v>广安</v>
          </cell>
          <cell r="C17">
            <v>85384.9795560445</v>
          </cell>
          <cell r="D17">
            <v>11191.0494950444</v>
          </cell>
          <cell r="E17">
            <v>85367.4503703127</v>
          </cell>
          <cell r="F17">
            <v>12066.4503703127</v>
          </cell>
          <cell r="G17">
            <v>-0.000205295894230462</v>
          </cell>
          <cell r="H17">
            <v>0.0782233047629663</v>
          </cell>
          <cell r="I17">
            <v>5890.05432</v>
          </cell>
          <cell r="J17">
            <v>10176.464799</v>
          </cell>
          <cell r="K17">
            <v>0.727737003111373</v>
          </cell>
          <cell r="L17">
            <v>0.0689823239476672</v>
          </cell>
          <cell r="M17">
            <v>0.119207786514132</v>
          </cell>
          <cell r="N17">
            <v>18</v>
          </cell>
          <cell r="O17">
            <v>0.0502254625664649</v>
          </cell>
          <cell r="P17">
            <v>3952.442767</v>
          </cell>
          <cell r="Q17">
            <v>7128.410672</v>
          </cell>
          <cell r="R17">
            <v>0.803545577311582</v>
          </cell>
          <cell r="S17">
            <v>0.353178919345341</v>
          </cell>
          <cell r="T17">
            <v>0.590762855125825</v>
          </cell>
          <cell r="U17">
            <v>17</v>
          </cell>
          <cell r="V17">
            <v>0.237583935780485</v>
          </cell>
          <cell r="W17">
            <v>1212.091463</v>
          </cell>
          <cell r="X17">
            <v>5916.319209</v>
          </cell>
          <cell r="Y17">
            <v>647.985679</v>
          </cell>
          <cell r="Z17">
            <v>981.397786</v>
          </cell>
          <cell r="AA17">
            <v>0.311758809461796</v>
          </cell>
          <cell r="AB17">
            <v>13</v>
          </cell>
          <cell r="AC17">
            <v>1.00474365804204</v>
          </cell>
          <cell r="AD17">
            <v>10</v>
          </cell>
          <cell r="AE17">
            <v>1937.611553</v>
          </cell>
          <cell r="AF17">
            <v>3048.054127</v>
          </cell>
          <cell r="AG17">
            <v>0.573098654516538</v>
          </cell>
          <cell r="AH17">
            <v>0.0261154996292413</v>
          </cell>
          <cell r="AI17">
            <v>0.0415827086533608</v>
          </cell>
          <cell r="AJ17">
            <v>13</v>
          </cell>
          <cell r="AK17">
            <v>0.0154672090241195</v>
          </cell>
          <cell r="AL17">
            <v>610.677109</v>
          </cell>
          <cell r="AM17">
            <v>1250.684538</v>
          </cell>
          <cell r="AN17">
            <v>1.04802917870629</v>
          </cell>
          <cell r="AO17">
            <v>11</v>
          </cell>
          <cell r="AP17">
            <v>0.103679367934929</v>
          </cell>
          <cell r="AQ17">
            <v>0.122899706597806</v>
          </cell>
          <cell r="AR17">
            <v>3</v>
          </cell>
          <cell r="AS17">
            <v>339.327054</v>
          </cell>
          <cell r="AT17">
            <v>989.875978</v>
          </cell>
          <cell r="AU17">
            <v>0.138863489148875</v>
          </cell>
          <cell r="AV17">
            <v>3</v>
          </cell>
          <cell r="AW17">
            <v>1.9171737600386</v>
          </cell>
          <cell r="AX17">
            <v>12</v>
          </cell>
          <cell r="AY17">
            <v>3421.69337</v>
          </cell>
          <cell r="AZ17">
            <v>3982.781481</v>
          </cell>
          <cell r="BA17">
            <v>0.163979658703316</v>
          </cell>
          <cell r="BB17">
            <v>0.0400737153980823</v>
          </cell>
          <cell r="BC17">
            <v>0.0466545675632014</v>
          </cell>
          <cell r="BD17">
            <v>21</v>
          </cell>
          <cell r="BE17">
            <v>0.00658085216511918</v>
          </cell>
          <cell r="BF17">
            <v>13129.867879</v>
          </cell>
          <cell r="BG17">
            <v>13156.030903</v>
          </cell>
          <cell r="BH17">
            <v>0.885525492442591</v>
          </cell>
          <cell r="BI17">
            <v>0.910156333853062</v>
          </cell>
          <cell r="BJ17">
            <v>13</v>
          </cell>
        </row>
        <row r="18">
          <cell r="B18" t="str">
            <v>自贡</v>
          </cell>
          <cell r="C18">
            <v>81589.1345996973</v>
          </cell>
          <cell r="D18">
            <v>9567.37989069726</v>
          </cell>
          <cell r="E18">
            <v>79471.7157842806</v>
          </cell>
          <cell r="F18">
            <v>10683.7157842806</v>
          </cell>
          <cell r="G18">
            <v>-0.0259522156449561</v>
          </cell>
          <cell r="H18">
            <v>0.116681464135107</v>
          </cell>
          <cell r="I18">
            <v>8525.594175</v>
          </cell>
          <cell r="J18">
            <v>7862.311529</v>
          </cell>
          <cell r="K18">
            <v>-0.0777989935229354</v>
          </cell>
          <cell r="L18">
            <v>0.104494234640793</v>
          </cell>
          <cell r="M18">
            <v>0.0989321980960068</v>
          </cell>
          <cell r="N18">
            <v>8</v>
          </cell>
          <cell r="O18">
            <v>-0.00556203654478606</v>
          </cell>
          <cell r="P18">
            <v>6385.977549</v>
          </cell>
          <cell r="Q18">
            <v>6808.678153</v>
          </cell>
          <cell r="R18">
            <v>0.0661919965669455</v>
          </cell>
          <cell r="S18">
            <v>0.667474023395824</v>
          </cell>
          <cell r="T18">
            <v>0.63729495341105</v>
          </cell>
          <cell r="U18">
            <v>20</v>
          </cell>
          <cell r="V18">
            <v>-0.0301790699847745</v>
          </cell>
          <cell r="W18">
            <v>310.850722</v>
          </cell>
          <cell r="X18">
            <v>6497.827431</v>
          </cell>
          <cell r="Y18">
            <v>467.403907</v>
          </cell>
          <cell r="Z18">
            <v>1127.289476</v>
          </cell>
          <cell r="AA18">
            <v>0.110843005141304</v>
          </cell>
          <cell r="AB18">
            <v>2</v>
          </cell>
          <cell r="AC18">
            <v>0.960686018592797</v>
          </cell>
          <cell r="AD18">
            <v>8</v>
          </cell>
          <cell r="AE18">
            <v>2139.616626</v>
          </cell>
          <cell r="AF18">
            <v>1053.633376</v>
          </cell>
          <cell r="AG18">
            <v>-0.507559736077691</v>
          </cell>
          <cell r="AH18">
            <v>0.0297079213724382</v>
          </cell>
          <cell r="AI18">
            <v>0.0153171101936384</v>
          </cell>
          <cell r="AJ18">
            <v>1</v>
          </cell>
          <cell r="AK18">
            <v>-0.0143908111787997</v>
          </cell>
          <cell r="AL18">
            <v>1770.152161</v>
          </cell>
          <cell r="AM18">
            <v>1426.884681</v>
          </cell>
          <cell r="AN18">
            <v>-0.193919758743271</v>
          </cell>
          <cell r="AO18">
            <v>3</v>
          </cell>
          <cell r="AP18">
            <v>0.207628010982589</v>
          </cell>
          <cell r="AQ18">
            <v>0.181484118981671</v>
          </cell>
          <cell r="AR18">
            <v>10</v>
          </cell>
          <cell r="AS18">
            <v>1552.568328</v>
          </cell>
          <cell r="AT18">
            <v>1168.812834</v>
          </cell>
          <cell r="AU18">
            <v>0.171665161391863</v>
          </cell>
          <cell r="AV18">
            <v>9</v>
          </cell>
          <cell r="AW18">
            <v>-0.247174624832357</v>
          </cell>
          <cell r="AX18">
            <v>3</v>
          </cell>
          <cell r="AY18">
            <v>6181.767779</v>
          </cell>
          <cell r="AZ18">
            <v>7388.79487</v>
          </cell>
          <cell r="BA18">
            <v>0.195255974367134</v>
          </cell>
          <cell r="BB18">
            <v>0.0757670467928083</v>
          </cell>
          <cell r="BC18">
            <v>0.0929738938826522</v>
          </cell>
          <cell r="BD18">
            <v>4</v>
          </cell>
          <cell r="BE18">
            <v>0.0172068470898439</v>
          </cell>
          <cell r="BF18">
            <v>10459.624345</v>
          </cell>
          <cell r="BG18">
            <v>12275.001935</v>
          </cell>
          <cell r="BH18">
            <v>0.725194482905549</v>
          </cell>
          <cell r="BI18">
            <v>0.95386828194537</v>
          </cell>
          <cell r="BJ18">
            <v>11</v>
          </cell>
        </row>
        <row r="19">
          <cell r="B19" t="str">
            <v>广元</v>
          </cell>
          <cell r="C19">
            <v>74002.6261510923</v>
          </cell>
          <cell r="D19">
            <v>11380.1527230923</v>
          </cell>
          <cell r="E19">
            <v>74169.461442107</v>
          </cell>
          <cell r="F19">
            <v>12354.461442107</v>
          </cell>
          <cell r="G19">
            <v>0.00225445095251176</v>
          </cell>
          <cell r="H19">
            <v>0.0856147314295403</v>
          </cell>
          <cell r="I19">
            <v>5638.201976</v>
          </cell>
          <cell r="J19">
            <v>8087.010389</v>
          </cell>
          <cell r="K19">
            <v>0.434324350816765</v>
          </cell>
          <cell r="L19">
            <v>0.0761892147514927</v>
          </cell>
          <cell r="M19">
            <v>0.109034233655752</v>
          </cell>
          <cell r="N19">
            <v>13</v>
          </cell>
          <cell r="O19">
            <v>0.0328450189042595</v>
          </cell>
          <cell r="P19">
            <v>2924.432817</v>
          </cell>
          <cell r="Q19">
            <v>5020.445951</v>
          </cell>
          <cell r="R19">
            <v>0.716724665998713</v>
          </cell>
          <cell r="S19">
            <v>0.256976587938562</v>
          </cell>
          <cell r="T19">
            <v>0.406367041940744</v>
          </cell>
          <cell r="U19">
            <v>8</v>
          </cell>
          <cell r="V19">
            <v>0.149390454002181</v>
          </cell>
          <cell r="W19">
            <v>763.50364</v>
          </cell>
          <cell r="X19">
            <v>4256.942311</v>
          </cell>
          <cell r="Y19">
            <v>614.844221</v>
          </cell>
          <cell r="Z19">
            <v>277.629799</v>
          </cell>
          <cell r="AA19">
            <v>0.206963979363265</v>
          </cell>
          <cell r="AB19">
            <v>6</v>
          </cell>
          <cell r="AC19">
            <v>2.55552677602402</v>
          </cell>
          <cell r="AD19">
            <v>19</v>
          </cell>
          <cell r="AE19">
            <v>2713.769159</v>
          </cell>
          <cell r="AF19">
            <v>3066.564438</v>
          </cell>
          <cell r="AG19">
            <v>0.130001948702963</v>
          </cell>
          <cell r="AH19">
            <v>0.0433353876084142</v>
          </cell>
          <cell r="AI19">
            <v>0.0496087428294103</v>
          </cell>
          <cell r="AJ19">
            <v>15</v>
          </cell>
          <cell r="AK19">
            <v>0.00627335522099612</v>
          </cell>
          <cell r="AL19">
            <v>499.894606</v>
          </cell>
          <cell r="AM19">
            <v>1444.322464</v>
          </cell>
          <cell r="AN19">
            <v>1.8892539480612</v>
          </cell>
          <cell r="AO19">
            <v>17</v>
          </cell>
          <cell r="AP19">
            <v>0.0886620607292696</v>
          </cell>
          <cell r="AQ19">
            <v>0.178597824724521</v>
          </cell>
          <cell r="AR19">
            <v>9</v>
          </cell>
          <cell r="AS19">
            <v>240.643536</v>
          </cell>
          <cell r="AT19">
            <v>777.979155</v>
          </cell>
          <cell r="AU19">
            <v>0.15496216124885</v>
          </cell>
          <cell r="AV19">
            <v>6</v>
          </cell>
          <cell r="AW19">
            <v>2.23291108471744</v>
          </cell>
          <cell r="AX19">
            <v>14</v>
          </cell>
          <cell r="AY19">
            <v>4447.607866</v>
          </cell>
          <cell r="AZ19">
            <v>4830.251745</v>
          </cell>
          <cell r="BA19">
            <v>0.0860336366263634</v>
          </cell>
          <cell r="BB19">
            <v>0.0601006761154564</v>
          </cell>
          <cell r="BC19">
            <v>0.0651245357736655</v>
          </cell>
          <cell r="BD19">
            <v>12</v>
          </cell>
          <cell r="BE19">
            <v>0.0050238596582091</v>
          </cell>
          <cell r="BF19">
            <v>10420.93143</v>
          </cell>
          <cell r="BG19">
            <v>10004.908031</v>
          </cell>
          <cell r="BH19">
            <v>0.887354269306492</v>
          </cell>
          <cell r="BI19">
            <v>0.90071970712138</v>
          </cell>
          <cell r="BJ19">
            <v>14</v>
          </cell>
        </row>
        <row r="20">
          <cell r="B20" t="str">
            <v>遂宁</v>
          </cell>
          <cell r="C20">
            <v>74765.4419522697</v>
          </cell>
          <cell r="D20">
            <v>8549.57793026971</v>
          </cell>
          <cell r="E20">
            <v>75931.2383485031</v>
          </cell>
          <cell r="F20">
            <v>9378.23834850306</v>
          </cell>
          <cell r="G20">
            <v>0.01559271724733</v>
          </cell>
          <cell r="H20">
            <v>0.0969241318100025</v>
          </cell>
          <cell r="I20">
            <v>5720.975794</v>
          </cell>
          <cell r="J20">
            <v>6456.806684</v>
          </cell>
          <cell r="K20">
            <v>0.128619822298797</v>
          </cell>
          <cell r="L20">
            <v>0.076518985839103</v>
          </cell>
          <cell r="M20">
            <v>0.0850349187559021</v>
          </cell>
          <cell r="N20">
            <v>7</v>
          </cell>
          <cell r="O20">
            <v>0.00851593291679914</v>
          </cell>
          <cell r="P20">
            <v>3320.479684</v>
          </cell>
          <cell r="Q20">
            <v>5120.287657</v>
          </cell>
          <cell r="R20">
            <v>0.542032520684442</v>
          </cell>
          <cell r="S20">
            <v>0.388379369260308</v>
          </cell>
          <cell r="T20">
            <v>0.545975423819047</v>
          </cell>
          <cell r="U20">
            <v>16</v>
          </cell>
          <cell r="V20">
            <v>0.157596054558739</v>
          </cell>
          <cell r="W20">
            <v>833.600232</v>
          </cell>
          <cell r="X20">
            <v>4286.687425</v>
          </cell>
          <cell r="Y20">
            <v>522.343489</v>
          </cell>
          <cell r="Z20">
            <v>290.716122</v>
          </cell>
          <cell r="AA20">
            <v>0.265980863025556</v>
          </cell>
          <cell r="AB20">
            <v>11</v>
          </cell>
          <cell r="AC20">
            <v>2.4575448353245</v>
          </cell>
          <cell r="AD20">
            <v>18</v>
          </cell>
          <cell r="AE20">
            <v>2400.49611</v>
          </cell>
          <cell r="AF20">
            <v>1336.519027</v>
          </cell>
          <cell r="AG20">
            <v>-0.443232162954848</v>
          </cell>
          <cell r="AH20">
            <v>0.0362525830547562</v>
          </cell>
          <cell r="AI20">
            <v>0.020082025258065</v>
          </cell>
          <cell r="AJ20">
            <v>3</v>
          </cell>
          <cell r="AK20">
            <v>-0.0161705577966912</v>
          </cell>
          <cell r="AL20">
            <v>491.224051</v>
          </cell>
          <cell r="AM20">
            <v>1404.65537</v>
          </cell>
          <cell r="AN20">
            <v>1.85950039934018</v>
          </cell>
          <cell r="AO20">
            <v>16</v>
          </cell>
          <cell r="AP20">
            <v>0.0858636828205395</v>
          </cell>
          <cell r="AQ20">
            <v>0.217546449622031</v>
          </cell>
          <cell r="AR20">
            <v>15</v>
          </cell>
          <cell r="AS20">
            <v>302.871762</v>
          </cell>
          <cell r="AT20">
            <v>1166.380789</v>
          </cell>
          <cell r="AU20">
            <v>0.227795949589947</v>
          </cell>
          <cell r="AV20">
            <v>14</v>
          </cell>
          <cell r="AW20">
            <v>2.85107142804551</v>
          </cell>
          <cell r="AX20">
            <v>17</v>
          </cell>
          <cell r="AY20">
            <v>2704.482285</v>
          </cell>
          <cell r="AZ20">
            <v>3859.380974</v>
          </cell>
          <cell r="BA20">
            <v>0.427031338088428</v>
          </cell>
          <cell r="BB20">
            <v>0.0361728923735453</v>
          </cell>
          <cell r="BC20">
            <v>0.0508273150542669</v>
          </cell>
          <cell r="BD20">
            <v>18</v>
          </cell>
          <cell r="BE20">
            <v>0.0146544226807216</v>
          </cell>
          <cell r="BF20">
            <v>12491.08761</v>
          </cell>
          <cell r="BG20">
            <v>12274.573693</v>
          </cell>
          <cell r="BH20">
            <v>0.950487464049028</v>
          </cell>
          <cell r="BI20">
            <v>1.03155789232144</v>
          </cell>
          <cell r="BJ20">
            <v>5</v>
          </cell>
        </row>
        <row r="21">
          <cell r="B21" t="str">
            <v>资阳</v>
          </cell>
          <cell r="C21">
            <v>61742.007236564</v>
          </cell>
          <cell r="D21">
            <v>4113.30143756403</v>
          </cell>
          <cell r="E21">
            <v>64172.5578319425</v>
          </cell>
          <cell r="F21">
            <v>6114.15783194247</v>
          </cell>
          <cell r="G21">
            <v>0.0393662387111235</v>
          </cell>
          <cell r="H21">
            <v>0.486435634428821</v>
          </cell>
          <cell r="I21">
            <v>4169.285895</v>
          </cell>
          <cell r="J21">
            <v>4237.734062</v>
          </cell>
          <cell r="K21">
            <v>0.016417239959986</v>
          </cell>
          <cell r="L21">
            <v>0.0675275405126596</v>
          </cell>
          <cell r="M21">
            <v>0.0660365459188636</v>
          </cell>
          <cell r="N21">
            <v>2</v>
          </cell>
          <cell r="O21">
            <v>-0.00149099459379604</v>
          </cell>
          <cell r="P21">
            <v>2953.569546</v>
          </cell>
          <cell r="Q21">
            <v>3110.973621</v>
          </cell>
          <cell r="R21">
            <v>0.053292828405944</v>
          </cell>
          <cell r="S21">
            <v>0.718053269577334</v>
          </cell>
          <cell r="T21">
            <v>0.50881473892401</v>
          </cell>
          <cell r="U21">
            <v>12</v>
          </cell>
          <cell r="V21">
            <v>-0.209238530653324</v>
          </cell>
          <cell r="W21">
            <v>387.911744</v>
          </cell>
          <cell r="X21">
            <v>2723.061877</v>
          </cell>
          <cell r="Y21">
            <v>334.230396</v>
          </cell>
          <cell r="Z21">
            <v>302.163681</v>
          </cell>
          <cell r="AA21">
            <v>0.19343530123853</v>
          </cell>
          <cell r="AB21">
            <v>5</v>
          </cell>
          <cell r="AC21">
            <v>1.50197947239949</v>
          </cell>
          <cell r="AD21">
            <v>13</v>
          </cell>
          <cell r="AE21">
            <v>1215.716349</v>
          </cell>
          <cell r="AF21">
            <v>1126.760441</v>
          </cell>
          <cell r="AG21">
            <v>-0.0731715980238086</v>
          </cell>
          <cell r="AH21">
            <v>0.021095673278526</v>
          </cell>
          <cell r="AI21">
            <v>0.0194073629483417</v>
          </cell>
          <cell r="AJ21">
            <v>2</v>
          </cell>
          <cell r="AK21">
            <v>-0.00168831033018434</v>
          </cell>
          <cell r="AL21">
            <v>421.029073</v>
          </cell>
          <cell r="AM21">
            <v>1139.397999</v>
          </cell>
          <cell r="AN21">
            <v>1.70622166512477</v>
          </cell>
          <cell r="AO21">
            <v>13</v>
          </cell>
          <cell r="AP21">
            <v>0.100983497798728</v>
          </cell>
          <cell r="AQ21">
            <v>0.268869632291711</v>
          </cell>
          <cell r="AR21">
            <v>17</v>
          </cell>
          <cell r="AS21">
            <v>230.251834</v>
          </cell>
          <cell r="AT21">
            <v>872.102273</v>
          </cell>
          <cell r="AU21">
            <v>0.280330976486927</v>
          </cell>
          <cell r="AV21">
            <v>16</v>
          </cell>
          <cell r="AW21">
            <v>2.78760185250034</v>
          </cell>
          <cell r="AX21">
            <v>16</v>
          </cell>
          <cell r="AY21">
            <v>3668.259957</v>
          </cell>
          <cell r="AZ21">
            <v>4580.608304</v>
          </cell>
          <cell r="BA21">
            <v>0.248714201745435</v>
          </cell>
          <cell r="BB21">
            <v>0.0594127097770743</v>
          </cell>
          <cell r="BC21">
            <v>0.0713795500562073</v>
          </cell>
          <cell r="BD21">
            <v>9</v>
          </cell>
          <cell r="BE21">
            <v>0.011966840279133</v>
          </cell>
          <cell r="BF21">
            <v>10767.017246</v>
          </cell>
          <cell r="BG21">
            <v>9982.368816</v>
          </cell>
          <cell r="BH21">
            <v>0.945877618482129</v>
          </cell>
          <cell r="BI21">
            <v>0.99616862116697</v>
          </cell>
          <cell r="BJ21">
            <v>8</v>
          </cell>
        </row>
        <row r="22">
          <cell r="B22" t="str">
            <v>甘孜</v>
          </cell>
          <cell r="C22">
            <v>57221.629940173</v>
          </cell>
          <cell r="D22">
            <v>16455.209782173</v>
          </cell>
          <cell r="E22">
            <v>59138.3698399853</v>
          </cell>
          <cell r="F22">
            <v>18143.3698399853</v>
          </cell>
          <cell r="G22">
            <v>0.0334967721439656</v>
          </cell>
          <cell r="H22">
            <v>0.102591220662601</v>
          </cell>
          <cell r="I22">
            <v>6265.426599</v>
          </cell>
          <cell r="J22">
            <v>9063.555339</v>
          </cell>
          <cell r="K22">
            <v>0.446598279588272</v>
          </cell>
          <cell r="L22">
            <v>0.109494025345847</v>
          </cell>
          <cell r="M22">
            <v>0.153260148420118</v>
          </cell>
          <cell r="N22">
            <v>21</v>
          </cell>
          <cell r="O22">
            <v>0.043766123074271</v>
          </cell>
          <cell r="P22">
            <v>4100.040024</v>
          </cell>
          <cell r="Q22">
            <v>6077.705469</v>
          </cell>
          <cell r="R22">
            <v>0.482352716906063</v>
          </cell>
          <cell r="S22">
            <v>0.249163643507106</v>
          </cell>
          <cell r="T22">
            <v>0.334982173796934</v>
          </cell>
          <cell r="U22">
            <v>3</v>
          </cell>
          <cell r="V22">
            <v>0.0858185302898275</v>
          </cell>
          <cell r="W22">
            <v>3222.535697</v>
          </cell>
          <cell r="X22">
            <v>2855.169772</v>
          </cell>
          <cell r="Y22">
            <v>1373.457092</v>
          </cell>
          <cell r="Z22">
            <v>437.219257</v>
          </cell>
          <cell r="AA22">
            <v>0.391049189641036</v>
          </cell>
          <cell r="AB22">
            <v>20</v>
          </cell>
          <cell r="AC22">
            <v>1.08838213561729</v>
          </cell>
          <cell r="AD22">
            <v>12</v>
          </cell>
          <cell r="AE22">
            <v>2165.386575</v>
          </cell>
          <cell r="AF22">
            <v>2985.84987</v>
          </cell>
          <cell r="AG22">
            <v>0.378899224957096</v>
          </cell>
          <cell r="AH22">
            <v>0.0531169174680418</v>
          </cell>
          <cell r="AI22">
            <v>0.0728344888401024</v>
          </cell>
          <cell r="AJ22">
            <v>21</v>
          </cell>
          <cell r="AK22">
            <v>0.0197175713720607</v>
          </cell>
          <cell r="AL22">
            <v>841.668495</v>
          </cell>
          <cell r="AM22">
            <v>1329.814431</v>
          </cell>
          <cell r="AN22">
            <v>0.5799741096404</v>
          </cell>
          <cell r="AO22">
            <v>7</v>
          </cell>
          <cell r="AP22">
            <v>0.134335385101205</v>
          </cell>
          <cell r="AQ22">
            <v>0.146721058267044</v>
          </cell>
          <cell r="AR22">
            <v>6</v>
          </cell>
          <cell r="AS22">
            <v>506.976954</v>
          </cell>
          <cell r="AT22">
            <v>851.63493</v>
          </cell>
          <cell r="AU22">
            <v>0.140124416088252</v>
          </cell>
          <cell r="AV22">
            <v>4</v>
          </cell>
          <cell r="AW22">
            <v>0.679829671310858</v>
          </cell>
          <cell r="AX22">
            <v>7</v>
          </cell>
          <cell r="AY22">
            <v>5940.217065</v>
          </cell>
          <cell r="AZ22">
            <v>6004.812275</v>
          </cell>
          <cell r="BA22">
            <v>0.0108742171023679</v>
          </cell>
          <cell r="BB22">
            <v>0.103810693110467</v>
          </cell>
          <cell r="BC22">
            <v>0.101538346275821</v>
          </cell>
          <cell r="BD22">
            <v>2</v>
          </cell>
          <cell r="BE22">
            <v>-0.00227234683464578</v>
          </cell>
          <cell r="BF22">
            <v>4592.588209</v>
          </cell>
          <cell r="BG22">
            <v>5301.160421</v>
          </cell>
          <cell r="BH22">
            <v>0.520189503245897</v>
          </cell>
          <cell r="BI22">
            <v>0.627713682491048</v>
          </cell>
          <cell r="BJ22">
            <v>20</v>
          </cell>
        </row>
        <row r="23">
          <cell r="B23" t="str">
            <v>雅安</v>
          </cell>
          <cell r="C23">
            <v>55656.4640550355</v>
          </cell>
          <cell r="D23">
            <v>10789.5396620355</v>
          </cell>
          <cell r="E23">
            <v>56414.2200194601</v>
          </cell>
          <cell r="F23">
            <v>11740.2200194601</v>
          </cell>
          <cell r="G23">
            <v>0.0136148779353877</v>
          </cell>
          <cell r="H23">
            <v>0.0881112992030328</v>
          </cell>
          <cell r="I23">
            <v>2887.00838</v>
          </cell>
          <cell r="J23">
            <v>3334.337497</v>
          </cell>
          <cell r="K23">
            <v>0.154945555440334</v>
          </cell>
          <cell r="L23">
            <v>0.0518719330991851</v>
          </cell>
          <cell r="M23">
            <v>0.0591045572525831</v>
          </cell>
          <cell r="N23">
            <v>1</v>
          </cell>
          <cell r="O23">
            <v>0.00723262415339804</v>
          </cell>
          <cell r="P23">
            <v>1419.209738</v>
          </cell>
          <cell r="Q23">
            <v>2312.013294</v>
          </cell>
          <cell r="R23">
            <v>0.629084998569817</v>
          </cell>
          <cell r="S23">
            <v>0.131535707959227</v>
          </cell>
          <cell r="T23">
            <v>0.196931002159048</v>
          </cell>
          <cell r="U23">
            <v>1</v>
          </cell>
          <cell r="V23">
            <v>0.0653952941998212</v>
          </cell>
          <cell r="W23">
            <v>1411.689762</v>
          </cell>
          <cell r="X23">
            <v>900.323532</v>
          </cell>
          <cell r="Y23">
            <v>786.890808</v>
          </cell>
          <cell r="Z23">
            <v>1485.806301</v>
          </cell>
          <cell r="AA23">
            <v>0.299001620819543</v>
          </cell>
          <cell r="AB23">
            <v>12</v>
          </cell>
          <cell r="AC23">
            <v>0.100991577367123</v>
          </cell>
          <cell r="AD23">
            <v>1</v>
          </cell>
          <cell r="AE23">
            <v>1467.798642</v>
          </cell>
          <cell r="AF23">
            <v>1022.324203</v>
          </cell>
          <cell r="AG23">
            <v>-0.303498331619249</v>
          </cell>
          <cell r="AH23">
            <v>0.0327144920642031</v>
          </cell>
          <cell r="AI23">
            <v>0.0228840982002955</v>
          </cell>
          <cell r="AJ23">
            <v>5</v>
          </cell>
          <cell r="AK23">
            <v>-0.00983039386390765</v>
          </cell>
          <cell r="AL23">
            <v>256.475558</v>
          </cell>
          <cell r="AM23">
            <v>271.817626</v>
          </cell>
          <cell r="AN23">
            <v>0.0598188307674914</v>
          </cell>
          <cell r="AO23">
            <v>5</v>
          </cell>
          <cell r="AP23">
            <v>0.0888378294211948</v>
          </cell>
          <cell r="AQ23">
            <v>0.0815207297535304</v>
          </cell>
          <cell r="AR23">
            <v>2</v>
          </cell>
          <cell r="AS23">
            <v>161.776837</v>
          </cell>
          <cell r="AT23">
            <v>138.315523</v>
          </cell>
          <cell r="AU23">
            <v>0.0598247092086141</v>
          </cell>
          <cell r="AV23">
            <v>1</v>
          </cell>
          <cell r="AW23">
            <v>-0.145022701859352</v>
          </cell>
          <cell r="AX23">
            <v>4</v>
          </cell>
          <cell r="AY23">
            <v>3301.164791</v>
          </cell>
          <cell r="AZ23">
            <v>3431.612248</v>
          </cell>
          <cell r="BA23">
            <v>0.0395155847280451</v>
          </cell>
          <cell r="BB23">
            <v>0.0593132324708172</v>
          </cell>
          <cell r="BC23">
            <v>0.0608288521372141</v>
          </cell>
          <cell r="BD23">
            <v>13</v>
          </cell>
          <cell r="BE23">
            <v>0.0015156196663969</v>
          </cell>
          <cell r="BF23">
            <v>9209.930923</v>
          </cell>
          <cell r="BG23">
            <v>7512.699927</v>
          </cell>
          <cell r="BH23">
            <v>0.879123088607234</v>
          </cell>
          <cell r="BI23">
            <v>0.789496296751761</v>
          </cell>
          <cell r="BJ23">
            <v>17</v>
          </cell>
        </row>
        <row r="24">
          <cell r="B24" t="str">
            <v>阿坝</v>
          </cell>
          <cell r="C24">
            <v>43837.1132383559</v>
          </cell>
          <cell r="D24">
            <v>8900.75600535587</v>
          </cell>
          <cell r="E24">
            <v>45301.2004900351</v>
          </cell>
          <cell r="F24">
            <v>10350.2004900351</v>
          </cell>
          <cell r="G24">
            <v>0.0333983500172219</v>
          </cell>
          <cell r="H24">
            <v>0.162845098080102</v>
          </cell>
          <cell r="I24">
            <v>3734.27995</v>
          </cell>
          <cell r="J24">
            <v>6231.124284</v>
          </cell>
          <cell r="K24">
            <v>0.66862805344843</v>
          </cell>
          <cell r="L24">
            <v>0.0851853526416206</v>
          </cell>
          <cell r="M24">
            <v>0.137548767286436</v>
          </cell>
          <cell r="N24">
            <v>19</v>
          </cell>
          <cell r="O24">
            <v>0.052363414644815</v>
          </cell>
          <cell r="P24">
            <v>1991.464241</v>
          </cell>
          <cell r="Q24">
            <v>3823.894962</v>
          </cell>
          <cell r="R24">
            <v>0.92014241746056</v>
          </cell>
          <cell r="S24">
            <v>0.223741021526899</v>
          </cell>
          <cell r="T24">
            <v>0.369451293787163</v>
          </cell>
          <cell r="U24">
            <v>5</v>
          </cell>
          <cell r="V24">
            <v>0.145710272260265</v>
          </cell>
          <cell r="W24">
            <v>1404.422938</v>
          </cell>
          <cell r="X24">
            <v>2419.472024</v>
          </cell>
          <cell r="Y24">
            <v>653.927662</v>
          </cell>
          <cell r="Z24">
            <v>997.036496</v>
          </cell>
          <cell r="AA24">
            <v>0.357945539344177</v>
          </cell>
          <cell r="AB24">
            <v>17</v>
          </cell>
          <cell r="AC24">
            <v>0.404443908473871</v>
          </cell>
          <cell r="AD24">
            <v>2</v>
          </cell>
          <cell r="AE24">
            <v>1742.815709</v>
          </cell>
          <cell r="AF24">
            <v>2407.229322</v>
          </cell>
          <cell r="AG24">
            <v>0.381229988672314</v>
          </cell>
          <cell r="AH24">
            <v>0.0498854444777024</v>
          </cell>
          <cell r="AI24">
            <v>0.0688744047952848</v>
          </cell>
          <cell r="AJ24">
            <v>20</v>
          </cell>
          <cell r="AK24">
            <v>0.0189889603175824</v>
          </cell>
          <cell r="AL24">
            <v>604.528001</v>
          </cell>
          <cell r="AM24">
            <v>1177.336522</v>
          </cell>
          <cell r="AN24">
            <v>0.947530172386506</v>
          </cell>
          <cell r="AO24">
            <v>10</v>
          </cell>
          <cell r="AP24">
            <v>0.161886095604589</v>
          </cell>
          <cell r="AQ24">
            <v>0.188944477487492</v>
          </cell>
          <cell r="AR24">
            <v>11</v>
          </cell>
          <cell r="AS24">
            <v>233.49717</v>
          </cell>
          <cell r="AT24">
            <v>579.772276</v>
          </cell>
          <cell r="AU24">
            <v>0.151618253576914</v>
          </cell>
          <cell r="AV24">
            <v>5</v>
          </cell>
          <cell r="AW24">
            <v>1.48299487312844</v>
          </cell>
          <cell r="AX24">
            <v>10</v>
          </cell>
          <cell r="AY24">
            <v>6223.497179</v>
          </cell>
          <cell r="AZ24">
            <v>6031.767157</v>
          </cell>
          <cell r="BA24">
            <v>-0.0308074409749804</v>
          </cell>
          <cell r="BB24">
            <v>0.141968681768823</v>
          </cell>
          <cell r="BC24">
            <v>0.133148064328379</v>
          </cell>
          <cell r="BD24">
            <v>1</v>
          </cell>
          <cell r="BE24">
            <v>-0.00882061744044357</v>
          </cell>
          <cell r="BF24">
            <v>1983.643418</v>
          </cell>
          <cell r="BG24">
            <v>2736.812075</v>
          </cell>
          <cell r="BH24">
            <v>0.304582025229499</v>
          </cell>
          <cell r="BI24">
            <v>0.395424633160755</v>
          </cell>
          <cell r="BJ24">
            <v>21</v>
          </cell>
        </row>
        <row r="25">
          <cell r="B25" t="str">
            <v>攀枝花</v>
          </cell>
          <cell r="C25">
            <v>41681.5980668821</v>
          </cell>
          <cell r="D25">
            <v>5590.13373888209</v>
          </cell>
          <cell r="E25">
            <v>40623.8028209367</v>
          </cell>
          <cell r="F25">
            <v>6186.80282093672</v>
          </cell>
          <cell r="G25">
            <v>-0.025377991607905</v>
          </cell>
          <cell r="H25">
            <v>0.106736101482601</v>
          </cell>
          <cell r="I25">
            <v>5444.784699</v>
          </cell>
          <cell r="J25">
            <v>4601.261334</v>
          </cell>
          <cell r="K25">
            <v>-0.154923180921171</v>
          </cell>
          <cell r="L25">
            <v>0.130628021753468</v>
          </cell>
          <cell r="M25">
            <v>0.113265155265784</v>
          </cell>
          <cell r="N25">
            <v>15</v>
          </cell>
          <cell r="O25">
            <v>-0.0173628664876841</v>
          </cell>
          <cell r="P25">
            <v>3008.522074</v>
          </cell>
          <cell r="Q25">
            <v>2844.916375</v>
          </cell>
          <cell r="R25">
            <v>-0.0543807540632325</v>
          </cell>
          <cell r="S25">
            <v>0.538184275104953</v>
          </cell>
          <cell r="T25">
            <v>0.459836276884813</v>
          </cell>
          <cell r="U25">
            <v>10</v>
          </cell>
          <cell r="V25">
            <v>-0.0783479982201403</v>
          </cell>
          <cell r="W25">
            <v>688.257505</v>
          </cell>
          <cell r="X25">
            <v>2156.65887</v>
          </cell>
          <cell r="Y25">
            <v>319.022343</v>
          </cell>
          <cell r="Z25">
            <v>423.991022</v>
          </cell>
          <cell r="AA25">
            <v>0.359565988663893</v>
          </cell>
          <cell r="AB25">
            <v>18</v>
          </cell>
          <cell r="AC25">
            <v>0.847761217453326</v>
          </cell>
          <cell r="AD25">
            <v>6</v>
          </cell>
          <cell r="AE25">
            <v>2436.262625</v>
          </cell>
          <cell r="AF25">
            <v>1756.344959</v>
          </cell>
          <cell r="AG25">
            <v>-0.279082254525002</v>
          </cell>
          <cell r="AH25">
            <v>0.0675024599406439</v>
          </cell>
          <cell r="AI25">
            <v>0.0510016830444</v>
          </cell>
          <cell r="AJ25">
            <v>16</v>
          </cell>
          <cell r="AK25">
            <v>-0.016500776896244</v>
          </cell>
          <cell r="AL25">
            <v>2893.820776</v>
          </cell>
          <cell r="AM25">
            <v>1726.303181</v>
          </cell>
          <cell r="AN25">
            <v>-0.403451936167867</v>
          </cell>
          <cell r="AO25">
            <v>1</v>
          </cell>
          <cell r="AP25">
            <v>0.531484886175845</v>
          </cell>
          <cell r="AQ25">
            <v>0.375180424603112</v>
          </cell>
          <cell r="AR25">
            <v>20</v>
          </cell>
          <cell r="AS25">
            <v>1412.994226</v>
          </cell>
          <cell r="AT25">
            <v>906.679579</v>
          </cell>
          <cell r="AU25">
            <v>0.318701662715833</v>
          </cell>
          <cell r="AV25">
            <v>20</v>
          </cell>
          <cell r="AW25">
            <v>-0.358327470617704</v>
          </cell>
          <cell r="AX25">
            <v>2</v>
          </cell>
          <cell r="AY25">
            <v>4235.740515</v>
          </cell>
          <cell r="AZ25">
            <v>3450.414723</v>
          </cell>
          <cell r="BA25">
            <v>-0.18540460380397</v>
          </cell>
          <cell r="BB25">
            <v>0.101621355980722</v>
          </cell>
          <cell r="BC25">
            <v>0.0849357884639427</v>
          </cell>
          <cell r="BD25">
            <v>5</v>
          </cell>
          <cell r="BE25">
            <v>-0.0166855675167793</v>
          </cell>
          <cell r="BF25">
            <v>6610.752657</v>
          </cell>
          <cell r="BG25">
            <v>4429.525669</v>
          </cell>
          <cell r="BH25">
            <v>0.977046329962195</v>
          </cell>
          <cell r="BI25">
            <v>0.640663201035014</v>
          </cell>
          <cell r="BJ25">
            <v>19</v>
          </cell>
        </row>
        <row r="26">
          <cell r="B26" t="str">
            <v>市州合计</v>
          </cell>
          <cell r="C26">
            <v>3051811.98025629</v>
          </cell>
          <cell r="D26">
            <v>429644.336208292</v>
          </cell>
          <cell r="E26">
            <v>3108676.88710614</v>
          </cell>
          <cell r="F26">
            <v>486690.265586706</v>
          </cell>
        </row>
        <row r="26">
          <cell r="I26">
            <v>236950.89635</v>
          </cell>
          <cell r="J26">
            <v>291208.806698</v>
          </cell>
          <cell r="K26">
            <v>0.228983773363134</v>
          </cell>
          <cell r="L26">
            <v>0.077642691582232</v>
          </cell>
          <cell r="M26">
            <v>0.0936761256552095</v>
          </cell>
        </row>
        <row r="26">
          <cell r="O26">
            <v>0.0160334340729775</v>
          </cell>
          <cell r="P26">
            <v>149244.319064</v>
          </cell>
          <cell r="Q26">
            <v>201488.411954</v>
          </cell>
          <cell r="R26">
            <v>0.350057497783861</v>
          </cell>
          <cell r="S26">
            <v>0.347367127846057</v>
          </cell>
          <cell r="T26">
            <v>0.413997209726612</v>
          </cell>
        </row>
        <row r="26">
          <cell r="V26">
            <v>0.0666300818805553</v>
          </cell>
          <cell r="W26">
            <v>38316.543525</v>
          </cell>
          <cell r="X26">
            <v>163171.868429</v>
          </cell>
          <cell r="Y26">
            <v>38131.566356</v>
          </cell>
          <cell r="Z26">
            <v>31169.903907</v>
          </cell>
          <cell r="AA26">
            <v>0.167475170777902</v>
          </cell>
        </row>
        <row r="26">
          <cell r="AC26">
            <v>0.872486212532915</v>
          </cell>
        </row>
        <row r="26">
          <cell r="AE26">
            <v>87706.577286</v>
          </cell>
          <cell r="AF26">
            <v>89720.394744</v>
          </cell>
          <cell r="AG26">
            <v>0.0229608487791422</v>
          </cell>
          <cell r="AH26">
            <v>0.0334481197207521</v>
          </cell>
          <cell r="AI26">
            <v>0.0342184792277877</v>
          </cell>
        </row>
        <row r="26">
          <cell r="AK26">
            <v>0.000770359507035627</v>
          </cell>
          <cell r="AL26">
            <v>38767.370306</v>
          </cell>
          <cell r="AM26">
            <v>58919.518588</v>
          </cell>
          <cell r="AN26">
            <v>0.519822420838307</v>
          </cell>
        </row>
        <row r="26">
          <cell r="AP26">
            <v>0.163609300083578</v>
          </cell>
          <cell r="AQ26">
            <v>0.202327392691468</v>
          </cell>
        </row>
        <row r="26">
          <cell r="AS26">
            <v>23331.018646</v>
          </cell>
          <cell r="AT26">
            <v>41407.29608</v>
          </cell>
          <cell r="AU26">
            <v>0.205507084394776</v>
          </cell>
        </row>
        <row r="26">
          <cell r="AW26">
            <v>0.774774462627207</v>
          </cell>
        </row>
        <row r="26">
          <cell r="AY26">
            <v>214482.934407</v>
          </cell>
          <cell r="AZ26">
            <v>234672.16034</v>
          </cell>
          <cell r="BA26">
            <v>0.0941297543733208</v>
          </cell>
          <cell r="BB26">
            <v>0.0702805204890072</v>
          </cell>
          <cell r="BC26">
            <v>0.0754894023606474</v>
          </cell>
        </row>
        <row r="26">
          <cell r="BE26">
            <v>0.00520888187164018</v>
          </cell>
          <cell r="BF26">
            <v>447538.882243</v>
          </cell>
          <cell r="BG26">
            <v>458096.643821</v>
          </cell>
          <cell r="BH26">
            <v>0.845162314392028</v>
          </cell>
          <cell r="BI26">
            <v>0.919373106466807</v>
          </cell>
        </row>
        <row r="27">
          <cell r="B27">
            <v>1</v>
          </cell>
          <cell r="C27">
            <v>2</v>
          </cell>
          <cell r="D27">
            <v>3</v>
          </cell>
          <cell r="E27">
            <v>4</v>
          </cell>
          <cell r="F27">
            <v>5</v>
          </cell>
          <cell r="G27">
            <v>6</v>
          </cell>
          <cell r="H27">
            <v>7</v>
          </cell>
          <cell r="I27">
            <v>8</v>
          </cell>
          <cell r="J27">
            <v>9</v>
          </cell>
          <cell r="K27">
            <v>10</v>
          </cell>
          <cell r="L27">
            <v>11</v>
          </cell>
          <cell r="M27">
            <v>12</v>
          </cell>
          <cell r="N27">
            <v>13</v>
          </cell>
          <cell r="O27">
            <v>14</v>
          </cell>
          <cell r="P27">
            <v>15</v>
          </cell>
          <cell r="Q27">
            <v>16</v>
          </cell>
          <cell r="R27">
            <v>17</v>
          </cell>
          <cell r="S27">
            <v>18</v>
          </cell>
          <cell r="T27">
            <v>19</v>
          </cell>
          <cell r="U27">
            <v>20</v>
          </cell>
          <cell r="V27">
            <v>21</v>
          </cell>
        </row>
        <row r="27">
          <cell r="AE27">
            <v>22</v>
          </cell>
          <cell r="AF27">
            <v>23</v>
          </cell>
          <cell r="AG27">
            <v>24</v>
          </cell>
          <cell r="AH27">
            <v>25</v>
          </cell>
          <cell r="AI27">
            <v>26</v>
          </cell>
          <cell r="AJ27">
            <v>27</v>
          </cell>
          <cell r="AK27">
            <v>28</v>
          </cell>
          <cell r="AL27">
            <v>29</v>
          </cell>
          <cell r="AM27">
            <v>30</v>
          </cell>
          <cell r="AN27">
            <v>31</v>
          </cell>
          <cell r="AO27">
            <v>32</v>
          </cell>
          <cell r="AP27">
            <v>33</v>
          </cell>
          <cell r="AQ27">
            <v>34</v>
          </cell>
          <cell r="AR27">
            <v>35</v>
          </cell>
          <cell r="AS27">
            <v>36</v>
          </cell>
          <cell r="AT27">
            <v>37</v>
          </cell>
          <cell r="AU27">
            <v>38</v>
          </cell>
          <cell r="AV27">
            <v>39</v>
          </cell>
          <cell r="AW27">
            <v>40</v>
          </cell>
          <cell r="AX27">
            <v>41</v>
          </cell>
          <cell r="AY27">
            <v>42</v>
          </cell>
          <cell r="AZ27">
            <v>43</v>
          </cell>
          <cell r="BA27">
            <v>44</v>
          </cell>
          <cell r="BB27">
            <v>45</v>
          </cell>
          <cell r="BC27">
            <v>46</v>
          </cell>
          <cell r="BD27">
            <v>47</v>
          </cell>
          <cell r="BE27">
            <v>48</v>
          </cell>
          <cell r="BF27">
            <v>55</v>
          </cell>
          <cell r="BG27">
            <v>56</v>
          </cell>
          <cell r="BH27">
            <v>57</v>
          </cell>
          <cell r="BI27">
            <v>58</v>
          </cell>
          <cell r="BJ27">
            <v>59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2026年1月"/>
    </sheetNames>
    <sheetDataSet>
      <sheetData sheetId="0">
        <row r="2">
          <cell r="B2" t="str">
            <v>单位</v>
          </cell>
          <cell r="C2" t="str">
            <v>2025年收入完成（不含云及IDC直销收入）</v>
          </cell>
        </row>
        <row r="2">
          <cell r="E2" t="str">
            <v>2026年收入预算（不含云及IDC运营中心直销客户的IDC收入）</v>
          </cell>
        </row>
        <row r="2">
          <cell r="I2" t="str">
            <v>应收账款总额占收比</v>
          </cell>
        </row>
        <row r="2">
          <cell r="P2" t="str">
            <v>产数应收账款占产数收入比</v>
          </cell>
        </row>
        <row r="2">
          <cell r="W2" t="str">
            <v>分资源型/ICT应收占收比
（注：资源型应收=组网专线+IDC
ICT应收=产数应收+合同资产-资源应收
资源型收入=组网专线+IDC-云锦IDC收入
ICT应收=产数收入-组网专线-IDC）</v>
          </cell>
        </row>
        <row r="2">
          <cell r="AE2" t="str">
            <v>基础应收账款占基础收入比</v>
          </cell>
        </row>
        <row r="2">
          <cell r="AL2" t="str">
            <v>一年以上应收账款占应收总额比</v>
          </cell>
        </row>
        <row r="2">
          <cell r="AS2" t="str">
            <v>一年以上产数应收</v>
          </cell>
        </row>
        <row r="2">
          <cell r="AY2" t="str">
            <v>预收账款占收比</v>
          </cell>
        </row>
        <row r="2">
          <cell r="BF2" t="str">
            <v>营业收现率</v>
          </cell>
        </row>
        <row r="3">
          <cell r="C3" t="str">
            <v>收入完成</v>
          </cell>
          <cell r="D3" t="str">
            <v>产数收入完成</v>
          </cell>
          <cell r="E3" t="str">
            <v>收入</v>
          </cell>
          <cell r="F3" t="str">
            <v>产数收入</v>
          </cell>
          <cell r="G3" t="str">
            <v>收入同比</v>
          </cell>
          <cell r="H3" t="str">
            <v>产数收入同比</v>
          </cell>
          <cell r="I3" t="str">
            <v>202501
应收总额</v>
          </cell>
          <cell r="J3" t="str">
            <v>202601
应收总额</v>
          </cell>
          <cell r="K3" t="str">
            <v>应收总额同比增幅</v>
          </cell>
          <cell r="L3" t="str">
            <v>202501
占收比</v>
          </cell>
          <cell r="M3" t="str">
            <v>202601
占收比</v>
          </cell>
          <cell r="N3" t="str">
            <v>排名</v>
          </cell>
          <cell r="O3" t="str">
            <v>占收比同比</v>
          </cell>
          <cell r="P3" t="str">
            <v>202501
应收产数</v>
          </cell>
          <cell r="Q3" t="str">
            <v>202601
应收产数</v>
          </cell>
          <cell r="R3" t="str">
            <v>产数应收账款增幅</v>
          </cell>
          <cell r="S3" t="str">
            <v>202501
产数占收比</v>
          </cell>
          <cell r="T3" t="str">
            <v>202601
产数占收比</v>
          </cell>
          <cell r="U3" t="str">
            <v>排名</v>
          </cell>
          <cell r="V3" t="str">
            <v>产数占收比同比</v>
          </cell>
          <cell r="W3" t="str">
            <v>202601资源型应收账款总额</v>
          </cell>
          <cell r="X3" t="str">
            <v>202601产数ICT应收账款总额</v>
          </cell>
          <cell r="Y3" t="str">
            <v>202601资源型收入（剔除云锦IDC收入）</v>
          </cell>
          <cell r="Z3" t="str">
            <v>202601产数ICT收入</v>
          </cell>
          <cell r="AA3" t="str">
            <v>202601资源型应收占收比</v>
          </cell>
          <cell r="AB3" t="str">
            <v>排名</v>
          </cell>
          <cell r="AC3" t="str">
            <v>202601产数ICT应收占收比</v>
          </cell>
          <cell r="AD3" t="str">
            <v>排名</v>
          </cell>
          <cell r="AE3" t="str">
            <v>202501
基础应收</v>
          </cell>
          <cell r="AF3" t="str">
            <v>202601
基础应收</v>
          </cell>
          <cell r="AG3" t="str">
            <v>基础应收同比增幅</v>
          </cell>
          <cell r="AH3" t="str">
            <v>202501
基础占收比</v>
          </cell>
          <cell r="AI3" t="str">
            <v>202601
基础占收比</v>
          </cell>
          <cell r="AJ3" t="str">
            <v>排名</v>
          </cell>
          <cell r="AK3" t="str">
            <v>基础占收比同比</v>
          </cell>
          <cell r="AL3" t="str">
            <v>202501
一年以上应收</v>
          </cell>
          <cell r="AM3" t="str">
            <v>202601
一年以上应收</v>
          </cell>
          <cell r="AN3" t="str">
            <v>一年以上同比增幅</v>
          </cell>
          <cell r="AO3" t="str">
            <v>排名</v>
          </cell>
          <cell r="AP3" t="str">
            <v>202501
一年以上占应收总额比</v>
          </cell>
          <cell r="AQ3" t="str">
            <v>202601
一年以上占应收总额比</v>
          </cell>
          <cell r="AR3" t="str">
            <v>排名</v>
          </cell>
          <cell r="AS3" t="str">
            <v>202501一年以上产数应收</v>
          </cell>
          <cell r="AT3" t="str">
            <v>202601一年以上产数应收</v>
          </cell>
          <cell r="AU3" t="str">
            <v>202601一年以上产数应收账款结构占比</v>
          </cell>
          <cell r="AV3" t="str">
            <v>排名</v>
          </cell>
          <cell r="AW3" t="str">
            <v>202601一年以上产数应收同比增幅</v>
          </cell>
          <cell r="AX3" t="str">
            <v>排名</v>
          </cell>
          <cell r="AY3" t="str">
            <v>202501
预收账款总额</v>
          </cell>
          <cell r="AZ3" t="str">
            <v>202601
预收账款总额</v>
          </cell>
          <cell r="BA3" t="str">
            <v>同比增幅</v>
          </cell>
          <cell r="BB3" t="str">
            <v>202501
占收比</v>
          </cell>
          <cell r="BC3" t="str">
            <v>202601
占收比</v>
          </cell>
          <cell r="BD3" t="str">
            <v>排名</v>
          </cell>
          <cell r="BE3" t="str">
            <v>占收比同比</v>
          </cell>
          <cell r="BF3" t="str">
            <v>202501经营活动现金流入完成</v>
          </cell>
          <cell r="BG3" t="str">
            <v>202601经营活动现金流入完成</v>
          </cell>
          <cell r="BH3" t="str">
            <v>202501营业收现率</v>
          </cell>
          <cell r="BI3" t="str">
            <v>202601营业收现率</v>
          </cell>
          <cell r="BJ3" t="str">
            <v>排名</v>
          </cell>
        </row>
        <row r="5">
          <cell r="B5" t="str">
            <v>成都</v>
          </cell>
          <cell r="C5">
            <v>1035002.11179498</v>
          </cell>
          <cell r="D5">
            <v>180143.506828979</v>
          </cell>
          <cell r="E5">
            <v>1059462.06544745</v>
          </cell>
          <cell r="F5">
            <v>200299.183928018</v>
          </cell>
          <cell r="G5">
            <v>0.0236327572414801</v>
          </cell>
          <cell r="H5">
            <v>0.111886781010508</v>
          </cell>
          <cell r="I5">
            <v>73348.38941</v>
          </cell>
          <cell r="J5">
            <v>80806.941089</v>
          </cell>
          <cell r="K5">
            <v>0.101686645596381</v>
          </cell>
          <cell r="L5">
            <v>0.070867864494299</v>
          </cell>
          <cell r="M5">
            <v>0.076271670052549</v>
          </cell>
          <cell r="N5">
            <v>4</v>
          </cell>
          <cell r="O5">
            <v>0.00540380555824997</v>
          </cell>
          <cell r="P5">
            <v>45969.808865</v>
          </cell>
          <cell r="Q5">
            <v>63009.803023</v>
          </cell>
          <cell r="R5">
            <v>0.370677942299946</v>
          </cell>
          <cell r="S5">
            <v>0.255184378688941</v>
          </cell>
          <cell r="T5">
            <v>0.314578431061626</v>
          </cell>
          <cell r="U5">
            <v>2</v>
          </cell>
          <cell r="V5">
            <v>0.0593940523726852</v>
          </cell>
          <cell r="W5">
            <v>9826.241503</v>
          </cell>
          <cell r="X5">
            <v>53183.56152</v>
          </cell>
          <cell r="Y5">
            <v>68355.35162</v>
          </cell>
          <cell r="Z5">
            <v>107234.609116</v>
          </cell>
          <cell r="AA5">
            <v>0.131772975062588</v>
          </cell>
          <cell r="AB5">
            <v>3</v>
          </cell>
          <cell r="AC5">
            <v>0.45462559580241</v>
          </cell>
          <cell r="AD5">
            <v>3</v>
          </cell>
          <cell r="AE5">
            <v>27378.580545</v>
          </cell>
          <cell r="AF5">
            <v>17797.138066</v>
          </cell>
          <cell r="AG5">
            <v>-0.349961257606169</v>
          </cell>
          <cell r="AH5">
            <v>0.0320270280792095</v>
          </cell>
          <cell r="AI5">
            <v>0.020714509959422</v>
          </cell>
          <cell r="AJ5">
            <v>3</v>
          </cell>
          <cell r="AK5">
            <v>-0.0113125181197875</v>
          </cell>
          <cell r="AL5">
            <v>15678.689879</v>
          </cell>
          <cell r="AM5">
            <v>16352.636499</v>
          </cell>
          <cell r="AN5">
            <v>0.0429848810838898</v>
          </cell>
          <cell r="AO5">
            <v>4</v>
          </cell>
          <cell r="AP5">
            <v>0.213756430169991</v>
          </cell>
          <cell r="AQ5">
            <v>0.202366730860278</v>
          </cell>
          <cell r="AR5">
            <v>13</v>
          </cell>
          <cell r="AS5">
            <v>7053.369813</v>
          </cell>
          <cell r="AT5">
            <v>10358.607052</v>
          </cell>
          <cell r="AU5">
            <v>0.164396753441982</v>
          </cell>
          <cell r="AV5">
            <v>11</v>
          </cell>
          <cell r="AW5">
            <v>0.468603990238559</v>
          </cell>
          <cell r="AX5">
            <v>6</v>
          </cell>
          <cell r="AY5">
            <v>97435.959051</v>
          </cell>
          <cell r="AZ5">
            <v>101492.733677</v>
          </cell>
          <cell r="BA5">
            <v>0.0416352922012766</v>
          </cell>
          <cell r="BB5">
            <v>0.0941408311544593</v>
          </cell>
          <cell r="BC5">
            <v>0.0957964772756029</v>
          </cell>
          <cell r="BD5">
            <v>3</v>
          </cell>
          <cell r="BE5">
            <v>0.00165564612114368</v>
          </cell>
          <cell r="BF5">
            <v>79504.698118</v>
          </cell>
          <cell r="BG5">
            <v>72034.2050110001</v>
          </cell>
          <cell r="BH5">
            <v>0.872281219306914</v>
          </cell>
          <cell r="BI5">
            <v>0.807281293934247</v>
          </cell>
          <cell r="BJ5">
            <v>12</v>
          </cell>
        </row>
        <row r="6">
          <cell r="B6" t="str">
            <v>绵阳</v>
          </cell>
          <cell r="C6">
            <v>181679.31450566</v>
          </cell>
          <cell r="D6">
            <v>18516.33890666</v>
          </cell>
          <cell r="E6">
            <v>186047.105255515</v>
          </cell>
          <cell r="F6">
            <v>22732.1052555154</v>
          </cell>
          <cell r="G6">
            <v>0.024041211085255</v>
          </cell>
          <cell r="H6">
            <v>0.227678180341529</v>
          </cell>
          <cell r="I6">
            <v>10774.631548</v>
          </cell>
          <cell r="J6">
            <v>13643.080963</v>
          </cell>
          <cell r="K6">
            <v>0.266222506284444</v>
          </cell>
          <cell r="L6">
            <v>0.0593057694945471</v>
          </cell>
          <cell r="M6">
            <v>0.0733313261943138</v>
          </cell>
          <cell r="N6">
            <v>3</v>
          </cell>
          <cell r="O6">
            <v>0.0140255566997667</v>
          </cell>
          <cell r="P6">
            <v>5386.087383</v>
          </cell>
          <cell r="Q6">
            <v>7884.049916</v>
          </cell>
          <cell r="R6">
            <v>0.463780543346599</v>
          </cell>
          <cell r="S6">
            <v>0.290882955326699</v>
          </cell>
          <cell r="T6">
            <v>0.34682445059008</v>
          </cell>
          <cell r="U6">
            <v>5</v>
          </cell>
          <cell r="V6">
            <v>0.055941495263381</v>
          </cell>
          <cell r="W6">
            <v>1284.398574</v>
          </cell>
          <cell r="X6">
            <v>6599.651342</v>
          </cell>
          <cell r="Y6">
            <v>7341.013965</v>
          </cell>
          <cell r="Z6">
            <v>10540.179972</v>
          </cell>
          <cell r="AA6">
            <v>0.160381844403697</v>
          </cell>
          <cell r="AB6">
            <v>6</v>
          </cell>
          <cell r="AC6">
            <v>0.573963671673948</v>
          </cell>
          <cell r="AD6">
            <v>6</v>
          </cell>
          <cell r="AE6">
            <v>5388.544165</v>
          </cell>
          <cell r="AF6">
            <v>5759.031047</v>
          </cell>
          <cell r="AG6">
            <v>0.0687545412370207</v>
          </cell>
          <cell r="AH6">
            <v>0.0330255325708403</v>
          </cell>
          <cell r="AI6">
            <v>0.0352633318862322</v>
          </cell>
          <cell r="AJ6">
            <v>10</v>
          </cell>
          <cell r="AK6">
            <v>0.00223779931539189</v>
          </cell>
          <cell r="AL6">
            <v>748.049338</v>
          </cell>
          <cell r="AM6">
            <v>1761.942371</v>
          </cell>
          <cell r="AN6">
            <v>1.35538256836209</v>
          </cell>
          <cell r="AO6">
            <v>14</v>
          </cell>
          <cell r="AP6">
            <v>0.069426906587711</v>
          </cell>
          <cell r="AQ6">
            <v>0.129145489627921</v>
          </cell>
          <cell r="AR6">
            <v>4</v>
          </cell>
          <cell r="AS6">
            <v>343.578883</v>
          </cell>
          <cell r="AT6">
            <v>1034.941249</v>
          </cell>
          <cell r="AU6">
            <v>0.131270255772947</v>
          </cell>
          <cell r="AV6">
            <v>5</v>
          </cell>
          <cell r="AW6">
            <v>2.01223765547896</v>
          </cell>
          <cell r="AX6">
            <v>16</v>
          </cell>
          <cell r="AY6">
            <v>12078.002339</v>
          </cell>
          <cell r="AZ6">
            <v>12640.669517</v>
          </cell>
          <cell r="BA6">
            <v>0.0465861126871239</v>
          </cell>
          <cell r="BB6">
            <v>0.0664797881468433</v>
          </cell>
          <cell r="BC6">
            <v>0.0679433818636385</v>
          </cell>
          <cell r="BD6">
            <v>10</v>
          </cell>
          <cell r="BE6">
            <v>0.00146359371679516</v>
          </cell>
          <cell r="BF6">
            <v>13642.349115</v>
          </cell>
          <cell r="BG6">
            <v>13258.246012</v>
          </cell>
          <cell r="BH6">
            <v>0.847726106293695</v>
          </cell>
          <cell r="BI6">
            <v>0.892365925979316</v>
          </cell>
          <cell r="BJ6">
            <v>7</v>
          </cell>
        </row>
        <row r="7">
          <cell r="B7" t="str">
            <v>南充</v>
          </cell>
          <cell r="C7">
            <v>179641.910012241</v>
          </cell>
          <cell r="D7">
            <v>12469.678737241</v>
          </cell>
          <cell r="E7">
            <v>184491.848760375</v>
          </cell>
          <cell r="F7">
            <v>16842.1827603748</v>
          </cell>
          <cell r="G7">
            <v>0.0269978133042759</v>
          </cell>
          <cell r="H7">
            <v>0.350650896087259</v>
          </cell>
          <cell r="I7">
            <v>12929.666626</v>
          </cell>
          <cell r="J7">
            <v>19297.559331</v>
          </cell>
          <cell r="K7">
            <v>0.492502466551994</v>
          </cell>
          <cell r="L7">
            <v>0.0719746668531801</v>
          </cell>
          <cell r="M7">
            <v>0.104598438688012</v>
          </cell>
          <cell r="N7">
            <v>11</v>
          </cell>
          <cell r="O7">
            <v>0.0326237718348316</v>
          </cell>
          <cell r="P7">
            <v>6610.147052</v>
          </cell>
          <cell r="Q7">
            <v>10777.188752</v>
          </cell>
          <cell r="R7">
            <v>0.630400756173677</v>
          </cell>
          <cell r="S7">
            <v>0.530097622503989</v>
          </cell>
          <cell r="T7">
            <v>0.639892637749774</v>
          </cell>
          <cell r="U7">
            <v>19</v>
          </cell>
          <cell r="V7">
            <v>0.109795015245785</v>
          </cell>
          <cell r="W7">
            <v>1053.885624</v>
          </cell>
          <cell r="X7">
            <v>9723.303128</v>
          </cell>
          <cell r="Y7">
            <v>4709.5539</v>
          </cell>
          <cell r="Z7">
            <v>9514.67531</v>
          </cell>
          <cell r="AA7">
            <v>0.205128095465687</v>
          </cell>
          <cell r="AB7">
            <v>9</v>
          </cell>
          <cell r="AC7">
            <v>0.936766371624439</v>
          </cell>
          <cell r="AD7">
            <v>19</v>
          </cell>
          <cell r="AE7">
            <v>6319.519574</v>
          </cell>
          <cell r="AF7">
            <v>8520.370579</v>
          </cell>
          <cell r="AG7">
            <v>0.348262392295583</v>
          </cell>
          <cell r="AH7">
            <v>0.0378024479652026</v>
          </cell>
          <cell r="AI7">
            <v>0.0508224727331099</v>
          </cell>
          <cell r="AJ7">
            <v>18</v>
          </cell>
          <cell r="AK7">
            <v>0.0130200247679074</v>
          </cell>
          <cell r="AL7">
            <v>2733.637667</v>
          </cell>
          <cell r="AM7">
            <v>3660.358113</v>
          </cell>
          <cell r="AN7">
            <v>0.339006320108626</v>
          </cell>
          <cell r="AO7">
            <v>6</v>
          </cell>
          <cell r="AP7">
            <v>0.211423677506347</v>
          </cell>
          <cell r="AQ7">
            <v>0.189679847602278</v>
          </cell>
          <cell r="AR7">
            <v>12</v>
          </cell>
          <cell r="AS7">
            <v>2446.297417</v>
          </cell>
          <cell r="AT7">
            <v>2658.807976</v>
          </cell>
          <cell r="AU7">
            <v>0.246707006547193</v>
          </cell>
          <cell r="AV7">
            <v>17</v>
          </cell>
          <cell r="AW7">
            <v>0.0868702871217559</v>
          </cell>
          <cell r="AX7">
            <v>5</v>
          </cell>
          <cell r="AY7">
            <v>8274.150036</v>
          </cell>
          <cell r="AZ7">
            <v>9450.295391</v>
          </cell>
          <cell r="BA7">
            <v>0.142146969765198</v>
          </cell>
          <cell r="BB7">
            <v>0.0460591297177601</v>
          </cell>
          <cell r="BC7">
            <v>0.0512233762873416</v>
          </cell>
          <cell r="BD7">
            <v>18</v>
          </cell>
          <cell r="BE7">
            <v>0.00516424656958144</v>
          </cell>
          <cell r="BF7">
            <v>15774.914577</v>
          </cell>
          <cell r="BG7">
            <v>12827.940994</v>
          </cell>
          <cell r="BH7">
            <v>1.00174691663152</v>
          </cell>
          <cell r="BI7">
            <v>0.866224159614951</v>
          </cell>
          <cell r="BJ7">
            <v>8</v>
          </cell>
        </row>
        <row r="8">
          <cell r="B8" t="str">
            <v>泸州</v>
          </cell>
          <cell r="C8">
            <v>162553.548497828</v>
          </cell>
          <cell r="D8">
            <v>16331.3692348284</v>
          </cell>
          <cell r="E8">
            <v>164815.203855653</v>
          </cell>
          <cell r="F8">
            <v>18361.203855653</v>
          </cell>
          <cell r="G8">
            <v>0.0139132942880988</v>
          </cell>
          <cell r="H8">
            <v>0.124290535082371</v>
          </cell>
          <cell r="I8">
            <v>11875.628075</v>
          </cell>
          <cell r="J8">
            <v>12793.977406</v>
          </cell>
          <cell r="K8">
            <v>0.077330590449634</v>
          </cell>
          <cell r="L8">
            <v>0.073056713832111</v>
          </cell>
          <cell r="M8">
            <v>0.0776261965322393</v>
          </cell>
          <cell r="N8">
            <v>5</v>
          </cell>
          <cell r="O8">
            <v>0.00456948270012825</v>
          </cell>
          <cell r="P8">
            <v>7246.124994</v>
          </cell>
          <cell r="Q8">
            <v>9097.664597</v>
          </cell>
          <cell r="R8">
            <v>0.255521344792303</v>
          </cell>
          <cell r="S8">
            <v>0.443693660329892</v>
          </cell>
          <cell r="T8">
            <v>0.495483012362451</v>
          </cell>
          <cell r="U8">
            <v>11</v>
          </cell>
          <cell r="V8">
            <v>0.0517893520325592</v>
          </cell>
          <cell r="W8">
            <v>1659.359118</v>
          </cell>
          <cell r="X8">
            <v>7438.305479</v>
          </cell>
          <cell r="Y8">
            <v>4667.584299</v>
          </cell>
          <cell r="Z8">
            <v>9556.183181</v>
          </cell>
          <cell r="AA8">
            <v>0.325881461171656</v>
          </cell>
          <cell r="AB8">
            <v>18</v>
          </cell>
          <cell r="AC8">
            <v>0.713511509766792</v>
          </cell>
          <cell r="AD8">
            <v>13</v>
          </cell>
          <cell r="AE8">
            <v>4629.503081</v>
          </cell>
          <cell r="AF8">
            <v>3696.312809</v>
          </cell>
          <cell r="AG8">
            <v>-0.201574608693948</v>
          </cell>
          <cell r="AH8">
            <v>0.0316607446581222</v>
          </cell>
          <cell r="AI8">
            <v>0.0252387289456075</v>
          </cell>
          <cell r="AJ8">
            <v>6</v>
          </cell>
          <cell r="AK8">
            <v>-0.0064220157125147</v>
          </cell>
          <cell r="AL8">
            <v>1890.866837</v>
          </cell>
          <cell r="AM8">
            <v>3290.143213</v>
          </cell>
          <cell r="AN8">
            <v>0.740018465932829</v>
          </cell>
          <cell r="AO8">
            <v>7</v>
          </cell>
          <cell r="AP8">
            <v>0.159222470176593</v>
          </cell>
          <cell r="AQ8">
            <v>0.257163437810748</v>
          </cell>
          <cell r="AR8">
            <v>18</v>
          </cell>
          <cell r="AS8">
            <v>1285.68517</v>
          </cell>
          <cell r="AT8">
            <v>2112.53942</v>
          </cell>
          <cell r="AU8">
            <v>0.232206782023666</v>
          </cell>
          <cell r="AV8">
            <v>15</v>
          </cell>
          <cell r="AW8">
            <v>0.643123424998361</v>
          </cell>
          <cell r="AX8">
            <v>7</v>
          </cell>
          <cell r="AY8">
            <v>8962.554061</v>
          </cell>
          <cell r="AZ8">
            <v>7912.769323</v>
          </cell>
          <cell r="BA8">
            <v>-0.117130087121937</v>
          </cell>
          <cell r="BB8">
            <v>0.0551360099107265</v>
          </cell>
          <cell r="BC8">
            <v>0.0480099477347375</v>
          </cell>
          <cell r="BD8">
            <v>20</v>
          </cell>
          <cell r="BE8">
            <v>-0.00712606217598901</v>
          </cell>
          <cell r="BF8">
            <v>12969.570497</v>
          </cell>
          <cell r="BG8">
            <v>11256.140511</v>
          </cell>
          <cell r="BH8">
            <v>0.905717883786806</v>
          </cell>
          <cell r="BI8">
            <v>0.814649814627794</v>
          </cell>
          <cell r="BJ8">
            <v>11</v>
          </cell>
        </row>
        <row r="9">
          <cell r="B9" t="str">
            <v>凉山</v>
          </cell>
          <cell r="C9">
            <v>140988.952175012</v>
          </cell>
          <cell r="D9">
            <v>21848.2972250117</v>
          </cell>
          <cell r="E9">
            <v>143570.11985534</v>
          </cell>
          <cell r="F9">
            <v>24548.1198553395</v>
          </cell>
          <cell r="G9">
            <v>0.0183075882224015</v>
          </cell>
          <cell r="H9">
            <v>0.123571306382498</v>
          </cell>
          <cell r="I9">
            <v>8244.496836</v>
          </cell>
          <cell r="J9">
            <v>14747.074771</v>
          </cell>
          <cell r="K9">
            <v>0.788717378919496</v>
          </cell>
          <cell r="L9">
            <v>0.0584761905724781</v>
          </cell>
          <cell r="M9">
            <v>0.102716879987695</v>
          </cell>
          <cell r="N9">
            <v>10</v>
          </cell>
          <cell r="O9">
            <v>0.0442406894152173</v>
          </cell>
          <cell r="P9">
            <v>4820.314941</v>
          </cell>
          <cell r="Q9">
            <v>9355.688881</v>
          </cell>
          <cell r="R9">
            <v>0.940887472190585</v>
          </cell>
          <cell r="S9">
            <v>0.220626572924949</v>
          </cell>
          <cell r="T9">
            <v>0.3811163109897</v>
          </cell>
          <cell r="U9">
            <v>6</v>
          </cell>
          <cell r="V9">
            <v>0.160489738064751</v>
          </cell>
          <cell r="W9">
            <v>2175.039674</v>
          </cell>
          <cell r="X9">
            <v>7180.649207</v>
          </cell>
          <cell r="Y9">
            <v>8210.713034</v>
          </cell>
          <cell r="Z9">
            <v>11679.423886</v>
          </cell>
          <cell r="AA9">
            <v>0.242827432840144</v>
          </cell>
          <cell r="AB9">
            <v>13</v>
          </cell>
          <cell r="AC9">
            <v>0.563577607708324</v>
          </cell>
          <cell r="AD9">
            <v>5</v>
          </cell>
          <cell r="AE9">
            <v>3424.181895</v>
          </cell>
          <cell r="AF9">
            <v>5391.38589</v>
          </cell>
          <cell r="AG9">
            <v>0.574503357392467</v>
          </cell>
          <cell r="AH9">
            <v>0.0287406670412969</v>
          </cell>
          <cell r="AI9">
            <v>0.0452973894742147</v>
          </cell>
          <cell r="AJ9">
            <v>15</v>
          </cell>
          <cell r="AK9">
            <v>0.0165567224329178</v>
          </cell>
          <cell r="AL9">
            <v>525.813344</v>
          </cell>
          <cell r="AM9">
            <v>2353.462375</v>
          </cell>
          <cell r="AN9">
            <v>3.4758513678953</v>
          </cell>
          <cell r="AO9">
            <v>21</v>
          </cell>
          <cell r="AP9">
            <v>0.0637774935765649</v>
          </cell>
          <cell r="AQ9">
            <v>0.159588420859442</v>
          </cell>
          <cell r="AR9">
            <v>8</v>
          </cell>
          <cell r="AS9">
            <v>199.472757</v>
          </cell>
          <cell r="AT9">
            <v>1607.118405</v>
          </cell>
          <cell r="AU9">
            <v>0.171779804292532</v>
          </cell>
          <cell r="AV9">
            <v>12</v>
          </cell>
          <cell r="AW9">
            <v>7.05683156522472</v>
          </cell>
          <cell r="AX9">
            <v>21</v>
          </cell>
          <cell r="AY9">
            <v>12608.528816</v>
          </cell>
          <cell r="AZ9">
            <v>11103.57721</v>
          </cell>
          <cell r="BA9">
            <v>-0.119359810169942</v>
          </cell>
          <cell r="BB9">
            <v>0.0894291972632637</v>
          </cell>
          <cell r="BC9">
            <v>0.0773390537055194</v>
          </cell>
          <cell r="BD9">
            <v>7</v>
          </cell>
          <cell r="BE9">
            <v>-0.0120901435577443</v>
          </cell>
          <cell r="BF9">
            <v>7855.635759</v>
          </cell>
          <cell r="BG9">
            <v>7425.793437</v>
          </cell>
          <cell r="BH9">
            <v>0.690021848481075</v>
          </cell>
          <cell r="BI9">
            <v>0.646869895463775</v>
          </cell>
          <cell r="BJ9">
            <v>17</v>
          </cell>
        </row>
        <row r="10">
          <cell r="B10" t="str">
            <v>宜宾</v>
          </cell>
          <cell r="C10">
            <v>140557.378816239</v>
          </cell>
          <cell r="D10">
            <v>15542.302543239</v>
          </cell>
          <cell r="E10">
            <v>143827.876373017</v>
          </cell>
          <cell r="F10">
            <v>17370.9633730166</v>
          </cell>
          <cell r="G10">
            <v>0.0232680602350572</v>
          </cell>
          <cell r="H10">
            <v>0.117657008972141</v>
          </cell>
          <cell r="I10">
            <v>6270.208333</v>
          </cell>
          <cell r="J10">
            <v>14395.514599</v>
          </cell>
          <cell r="K10">
            <v>1.29585905834048</v>
          </cell>
          <cell r="L10">
            <v>0.0446095991957669</v>
          </cell>
          <cell r="M10">
            <v>0.100088487447769</v>
          </cell>
          <cell r="N10">
            <v>9</v>
          </cell>
          <cell r="O10">
            <v>0.0554788882520022</v>
          </cell>
          <cell r="P10">
            <v>3333.757767</v>
          </cell>
          <cell r="Q10">
            <v>9059.106537</v>
          </cell>
          <cell r="R10">
            <v>1.71738595607447</v>
          </cell>
          <cell r="S10">
            <v>0.214495745255596</v>
          </cell>
          <cell r="T10">
            <v>0.521508585475005</v>
          </cell>
          <cell r="U10">
            <v>13</v>
          </cell>
          <cell r="V10">
            <v>0.307012840219408</v>
          </cell>
          <cell r="W10">
            <v>1677.340774</v>
          </cell>
          <cell r="X10">
            <v>7381.765763</v>
          </cell>
          <cell r="Y10">
            <v>14290.47638</v>
          </cell>
          <cell r="Z10">
            <v>10162.644729</v>
          </cell>
          <cell r="AA10">
            <v>0.107593500404125</v>
          </cell>
          <cell r="AB10">
            <v>1</v>
          </cell>
          <cell r="AC10">
            <v>0.665832447805067</v>
          </cell>
          <cell r="AD10">
            <v>10</v>
          </cell>
          <cell r="AE10">
            <v>2936.450566</v>
          </cell>
          <cell r="AF10">
            <v>5336.408062</v>
          </cell>
          <cell r="AG10">
            <v>0.817298790515379</v>
          </cell>
          <cell r="AH10">
            <v>0.0234887715429423</v>
          </cell>
          <cell r="AI10">
            <v>0.0421994174569166</v>
          </cell>
          <cell r="AJ10">
            <v>13</v>
          </cell>
          <cell r="AK10">
            <v>0.0187106459139743</v>
          </cell>
          <cell r="AL10">
            <v>610.368328</v>
          </cell>
          <cell r="AM10">
            <v>1961.280653</v>
          </cell>
          <cell r="AN10">
            <v>2.21327395775359</v>
          </cell>
          <cell r="AO10">
            <v>18</v>
          </cell>
          <cell r="AP10">
            <v>0.0973441862828771</v>
          </cell>
          <cell r="AQ10">
            <v>0.136242482997881</v>
          </cell>
          <cell r="AR10">
            <v>6</v>
          </cell>
          <cell r="AS10">
            <v>238.629081</v>
          </cell>
          <cell r="AT10">
            <v>1441.070944</v>
          </cell>
          <cell r="AU10">
            <v>0.159074290396548</v>
          </cell>
          <cell r="AV10">
            <v>10</v>
          </cell>
          <cell r="AW10">
            <v>5.038957774807</v>
          </cell>
          <cell r="AX10">
            <v>20</v>
          </cell>
          <cell r="AY10">
            <v>8188.527997</v>
          </cell>
          <cell r="AZ10">
            <v>7589.480575</v>
          </cell>
          <cell r="BA10">
            <v>-0.0731569119894896</v>
          </cell>
          <cell r="BB10">
            <v>0.0582575462488203</v>
          </cell>
          <cell r="BC10">
            <v>0.0527677997227513</v>
          </cell>
          <cell r="BD10">
            <v>16</v>
          </cell>
          <cell r="BE10">
            <v>-0.00548974652606898</v>
          </cell>
          <cell r="BF10">
            <v>13183.154878</v>
          </cell>
          <cell r="BG10">
            <v>10685.055096</v>
          </cell>
          <cell r="BH10">
            <v>1.03976101294937</v>
          </cell>
          <cell r="BI10">
            <v>0.904146089858967</v>
          </cell>
          <cell r="BJ10">
            <v>5</v>
          </cell>
        </row>
        <row r="11">
          <cell r="B11" t="str">
            <v>达州</v>
          </cell>
          <cell r="C11">
            <v>120354.808731422</v>
          </cell>
          <cell r="D11">
            <v>12304.329956422</v>
          </cell>
          <cell r="E11">
            <v>122765.279060519</v>
          </cell>
          <cell r="F11">
            <v>14143.315060519</v>
          </cell>
          <cell r="G11">
            <v>0.0200280350615327</v>
          </cell>
          <cell r="H11">
            <v>0.149458370395633</v>
          </cell>
          <cell r="I11">
            <v>9749.128204</v>
          </cell>
          <cell r="J11">
            <v>13190.97803</v>
          </cell>
          <cell r="K11">
            <v>0.353041805788115</v>
          </cell>
          <cell r="L11">
            <v>0.0810032295905657</v>
          </cell>
          <cell r="M11">
            <v>0.107448768340251</v>
          </cell>
          <cell r="N11">
            <v>14</v>
          </cell>
          <cell r="O11">
            <v>0.0264455387496855</v>
          </cell>
          <cell r="P11">
            <v>4880.546845</v>
          </cell>
          <cell r="Q11">
            <v>7633.34064</v>
          </cell>
          <cell r="R11">
            <v>0.564033884403788</v>
          </cell>
          <cell r="S11">
            <v>0.396652793145611</v>
          </cell>
          <cell r="T11">
            <v>0.539713681505154</v>
          </cell>
          <cell r="U11">
            <v>15</v>
          </cell>
          <cell r="V11">
            <v>0.143060888359543</v>
          </cell>
          <cell r="W11">
            <v>1771.257705</v>
          </cell>
          <cell r="X11">
            <v>5862.082935</v>
          </cell>
          <cell r="Y11">
            <v>5255.201062</v>
          </cell>
          <cell r="Z11">
            <v>6252.907641</v>
          </cell>
          <cell r="AA11">
            <v>0.308961137184745</v>
          </cell>
          <cell r="AB11">
            <v>17</v>
          </cell>
          <cell r="AC11">
            <v>0.859372364388646</v>
          </cell>
          <cell r="AD11">
            <v>17</v>
          </cell>
          <cell r="AE11">
            <v>4868.581359</v>
          </cell>
          <cell r="AF11">
            <v>5557.63739</v>
          </cell>
          <cell r="AG11">
            <v>0.141531173085198</v>
          </cell>
          <cell r="AH11">
            <v>0.045058396910375</v>
          </cell>
          <cell r="AI11">
            <v>0.0511649503041576</v>
          </cell>
          <cell r="AJ11">
            <v>19</v>
          </cell>
          <cell r="AK11">
            <v>0.00610655339378263</v>
          </cell>
          <cell r="AL11">
            <v>1768.932401</v>
          </cell>
          <cell r="AM11">
            <v>5103.118794</v>
          </cell>
          <cell r="AN11">
            <v>1.88485800311823</v>
          </cell>
          <cell r="AO11">
            <v>16</v>
          </cell>
          <cell r="AP11">
            <v>0.181445188121972</v>
          </cell>
          <cell r="AQ11">
            <v>0.386864323660768</v>
          </cell>
          <cell r="AR11">
            <v>21</v>
          </cell>
          <cell r="AS11">
            <v>1076.086921</v>
          </cell>
          <cell r="AT11">
            <v>2835.79834</v>
          </cell>
          <cell r="AU11">
            <v>0.371501610335576</v>
          </cell>
          <cell r="AV11">
            <v>21</v>
          </cell>
          <cell r="AW11">
            <v>1.63528743325373</v>
          </cell>
          <cell r="AX11">
            <v>13</v>
          </cell>
          <cell r="AY11">
            <v>7116.786695</v>
          </cell>
          <cell r="AZ11">
            <v>7866.558674</v>
          </cell>
          <cell r="BA11">
            <v>0.105352599583568</v>
          </cell>
          <cell r="BB11">
            <v>0.0591317187074883</v>
          </cell>
          <cell r="BC11">
            <v>0.0640780417248273</v>
          </cell>
          <cell r="BD11">
            <v>12</v>
          </cell>
          <cell r="BE11">
            <v>0.00494632301733899</v>
          </cell>
          <cell r="BF11">
            <v>10732.213658</v>
          </cell>
          <cell r="BG11">
            <v>8970.62972</v>
          </cell>
          <cell r="BH11">
            <v>0.969140325754138</v>
          </cell>
          <cell r="BI11">
            <v>0.954927515354468</v>
          </cell>
          <cell r="BJ11">
            <v>2</v>
          </cell>
        </row>
        <row r="12">
          <cell r="B12" t="str">
            <v>乐山</v>
          </cell>
          <cell r="C12">
            <v>120556.022918018</v>
          </cell>
          <cell r="D12">
            <v>16066.6248020181</v>
          </cell>
          <cell r="E12">
            <v>122400.418012181</v>
          </cell>
          <cell r="F12">
            <v>18070.4180121814</v>
          </cell>
          <cell r="G12">
            <v>0.0152990705028255</v>
          </cell>
          <cell r="H12">
            <v>0.124717744694679</v>
          </cell>
          <cell r="I12">
            <v>11490.402363</v>
          </cell>
          <cell r="J12">
            <v>15711.189869</v>
          </cell>
          <cell r="K12">
            <v>0.367331567046883</v>
          </cell>
          <cell r="L12">
            <v>0.0953117238349331</v>
          </cell>
          <cell r="M12">
            <v>0.128358955991772</v>
          </cell>
          <cell r="N12">
            <v>19</v>
          </cell>
          <cell r="O12">
            <v>0.0330472321568386</v>
          </cell>
          <cell r="P12">
            <v>8184.852502</v>
          </cell>
          <cell r="Q12">
            <v>11073.334409</v>
          </cell>
          <cell r="R12">
            <v>0.352905798399444</v>
          </cell>
          <cell r="S12">
            <v>0.50943198106997</v>
          </cell>
          <cell r="T12">
            <v>0.612787949981865</v>
          </cell>
          <cell r="U12">
            <v>18</v>
          </cell>
          <cell r="V12">
            <v>0.103355968911894</v>
          </cell>
          <cell r="W12">
            <v>1443.234807</v>
          </cell>
          <cell r="X12">
            <v>9630.099602</v>
          </cell>
          <cell r="Y12">
            <v>5076.341213</v>
          </cell>
          <cell r="Z12">
            <v>9917.685995</v>
          </cell>
          <cell r="AA12">
            <v>0.260613931223145</v>
          </cell>
          <cell r="AB12">
            <v>14</v>
          </cell>
          <cell r="AC12">
            <v>0.890085782740426</v>
          </cell>
          <cell r="AD12">
            <v>18</v>
          </cell>
          <cell r="AE12">
            <v>3305.549861</v>
          </cell>
          <cell r="AF12">
            <v>4637.85546</v>
          </cell>
          <cell r="AG12">
            <v>0.403051127656247</v>
          </cell>
          <cell r="AH12">
            <v>0.0316352655924988</v>
          </cell>
          <cell r="AI12">
            <v>0.0444537090002877</v>
          </cell>
          <cell r="AJ12">
            <v>14</v>
          </cell>
          <cell r="AK12">
            <v>0.0128184434077889</v>
          </cell>
          <cell r="AL12">
            <v>1599.657404</v>
          </cell>
          <cell r="AM12">
            <v>3764.135697</v>
          </cell>
          <cell r="AN12">
            <v>1.35308865985157</v>
          </cell>
          <cell r="AO12">
            <v>13</v>
          </cell>
          <cell r="AP12">
            <v>0.139216831009419</v>
          </cell>
          <cell r="AQ12">
            <v>0.23958310786041</v>
          </cell>
          <cell r="AR12">
            <v>17</v>
          </cell>
          <cell r="AS12">
            <v>1254.273028</v>
          </cell>
          <cell r="AT12">
            <v>2836.518222</v>
          </cell>
          <cell r="AU12">
            <v>0.256157550854292</v>
          </cell>
          <cell r="AV12">
            <v>18</v>
          </cell>
          <cell r="AW12">
            <v>1.26148387047991</v>
          </cell>
          <cell r="AX12">
            <v>10</v>
          </cell>
          <cell r="AY12">
            <v>7314.089866</v>
          </cell>
          <cell r="AZ12">
            <v>6561.178762</v>
          </cell>
          <cell r="BA12">
            <v>-0.102939821330328</v>
          </cell>
          <cell r="BB12">
            <v>0.060669634655863</v>
          </cell>
          <cell r="BC12">
            <v>0.053604218584834</v>
          </cell>
          <cell r="BD12">
            <v>15</v>
          </cell>
          <cell r="BE12">
            <v>-0.00706541607102904</v>
          </cell>
          <cell r="BF12">
            <v>9811.207571</v>
          </cell>
          <cell r="BG12">
            <v>8738.661817</v>
          </cell>
          <cell r="BH12">
            <v>0.909117489110285</v>
          </cell>
          <cell r="BI12">
            <v>0.896075408366569</v>
          </cell>
          <cell r="BJ12">
            <v>6</v>
          </cell>
        </row>
        <row r="13">
          <cell r="B13" t="str">
            <v>眉山</v>
          </cell>
          <cell r="C13">
            <v>120948.418683953</v>
          </cell>
          <cell r="D13">
            <v>19113.5978109531</v>
          </cell>
          <cell r="E13">
            <v>121392.756101869</v>
          </cell>
          <cell r="F13">
            <v>21043.9591018691</v>
          </cell>
          <cell r="G13">
            <v>0.00367377616632658</v>
          </cell>
          <cell r="H13">
            <v>0.100994135693794</v>
          </cell>
          <cell r="I13">
            <v>4615.23916</v>
          </cell>
          <cell r="J13">
            <v>11098.398525</v>
          </cell>
          <cell r="K13">
            <v>1.40472879957969</v>
          </cell>
          <cell r="L13">
            <v>0.0381587391568959</v>
          </cell>
          <cell r="M13">
            <v>0.0914255420289376</v>
          </cell>
          <cell r="N13">
            <v>8</v>
          </cell>
          <cell r="O13">
            <v>0.0532668028720417</v>
          </cell>
          <cell r="P13">
            <v>2197.110536</v>
          </cell>
          <cell r="Q13">
            <v>8269.843237</v>
          </cell>
          <cell r="R13">
            <v>2.76396321509424</v>
          </cell>
          <cell r="S13">
            <v>0.114950129103425</v>
          </cell>
          <cell r="T13">
            <v>0.392979438753304</v>
          </cell>
          <cell r="U13">
            <v>7</v>
          </cell>
          <cell r="V13">
            <v>0.278029309649879</v>
          </cell>
          <cell r="W13">
            <v>683.454743</v>
          </cell>
          <cell r="X13">
            <v>7586.388494</v>
          </cell>
          <cell r="Y13">
            <v>4509.306308</v>
          </cell>
          <cell r="Z13">
            <v>11160.163434</v>
          </cell>
          <cell r="AA13">
            <v>0.13893493550701</v>
          </cell>
          <cell r="AB13">
            <v>4</v>
          </cell>
          <cell r="AC13">
            <v>0.62312613018256</v>
          </cell>
          <cell r="AD13">
            <v>8</v>
          </cell>
          <cell r="AE13">
            <v>2418.128624</v>
          </cell>
          <cell r="AF13">
            <v>2828.555288</v>
          </cell>
          <cell r="AG13">
            <v>0.169729045811088</v>
          </cell>
          <cell r="AH13">
            <v>0.0237455970685675</v>
          </cell>
          <cell r="AI13">
            <v>0.0281872366442022</v>
          </cell>
          <cell r="AJ13">
            <v>7</v>
          </cell>
          <cell r="AK13">
            <v>0.00444163957563468</v>
          </cell>
          <cell r="AL13">
            <v>205.440805</v>
          </cell>
          <cell r="AM13">
            <v>866.136915</v>
          </cell>
          <cell r="AN13">
            <v>3.21599260672679</v>
          </cell>
          <cell r="AO13">
            <v>20</v>
          </cell>
          <cell r="AP13">
            <v>0.0445135772768924</v>
          </cell>
          <cell r="AQ13">
            <v>0.0780416123145118</v>
          </cell>
          <cell r="AR13">
            <v>1</v>
          </cell>
          <cell r="AS13">
            <v>105.00535</v>
          </cell>
          <cell r="AT13">
            <v>455.791905</v>
          </cell>
          <cell r="AU13">
            <v>0.0551149389338781</v>
          </cell>
          <cell r="AV13">
            <v>1</v>
          </cell>
          <cell r="AW13">
            <v>3.34065411905203</v>
          </cell>
          <cell r="AX13">
            <v>19</v>
          </cell>
          <cell r="AY13">
            <v>9778.922429</v>
          </cell>
          <cell r="AZ13">
            <v>6238.16923</v>
          </cell>
          <cell r="BA13">
            <v>-0.362080098774449</v>
          </cell>
          <cell r="BB13">
            <v>0.0808520072887686</v>
          </cell>
          <cell r="BC13">
            <v>0.0513883153354317</v>
          </cell>
          <cell r="BD13">
            <v>17</v>
          </cell>
          <cell r="BE13">
            <v>-0.0294636919533368</v>
          </cell>
          <cell r="BF13">
            <v>10232.114237</v>
          </cell>
          <cell r="BG13">
            <v>7293.089816</v>
          </cell>
          <cell r="BH13">
            <v>0.935366919999747</v>
          </cell>
          <cell r="BI13">
            <v>0.792244883021294</v>
          </cell>
          <cell r="BJ13">
            <v>13</v>
          </cell>
        </row>
        <row r="14">
          <cell r="B14" t="str">
            <v>德阳</v>
          </cell>
          <cell r="C14">
            <v>108454.177515746</v>
          </cell>
          <cell r="D14">
            <v>14837.5039077463</v>
          </cell>
          <cell r="E14">
            <v>112086.049165461</v>
          </cell>
          <cell r="F14">
            <v>18088.0491654614</v>
          </cell>
          <cell r="G14">
            <v>0.0334876141510334</v>
          </cell>
          <cell r="H14">
            <v>0.219076286545614</v>
          </cell>
          <cell r="I14">
            <v>9289.142028</v>
          </cell>
          <cell r="J14">
            <v>12355.075584</v>
          </cell>
          <cell r="K14">
            <v>0.330055622656909</v>
          </cell>
          <cell r="L14">
            <v>0.085650384713409</v>
          </cell>
          <cell r="M14">
            <v>0.110228486738448</v>
          </cell>
          <cell r="N14">
            <v>17</v>
          </cell>
          <cell r="O14">
            <v>0.0245781020250386</v>
          </cell>
          <cell r="P14">
            <v>6331.734578</v>
          </cell>
          <cell r="Q14">
            <v>9253.823733</v>
          </cell>
          <cell r="R14">
            <v>0.461498996681411</v>
          </cell>
          <cell r="S14">
            <v>0.426738528081826</v>
          </cell>
          <cell r="T14">
            <v>0.511598771561828</v>
          </cell>
          <cell r="U14">
            <v>12</v>
          </cell>
          <cell r="V14">
            <v>0.0848602434800018</v>
          </cell>
          <cell r="W14">
            <v>2539.396814</v>
          </cell>
          <cell r="X14">
            <v>6714.426919</v>
          </cell>
          <cell r="Y14">
            <v>6173.375624</v>
          </cell>
          <cell r="Z14">
            <v>8441.601857</v>
          </cell>
          <cell r="AA14">
            <v>0.377067678140904</v>
          </cell>
          <cell r="AB14">
            <v>19</v>
          </cell>
          <cell r="AC14">
            <v>0.729114147608474</v>
          </cell>
          <cell r="AD14">
            <v>14</v>
          </cell>
          <cell r="AE14">
            <v>2957.40745</v>
          </cell>
          <cell r="AF14">
            <v>3101.251851</v>
          </cell>
          <cell r="AG14">
            <v>0.0486386821673828</v>
          </cell>
          <cell r="AH14">
            <v>0.031590605989522</v>
          </cell>
          <cell r="AI14">
            <v>0.0329927429413393</v>
          </cell>
          <cell r="AJ14">
            <v>8</v>
          </cell>
          <cell r="AK14">
            <v>0.00140213695181733</v>
          </cell>
          <cell r="AL14">
            <v>810.33608</v>
          </cell>
          <cell r="AM14">
            <v>2144.387607</v>
          </cell>
          <cell r="AN14">
            <v>1.64629412403802</v>
          </cell>
          <cell r="AO14">
            <v>15</v>
          </cell>
          <cell r="AP14">
            <v>0.087234760493211</v>
          </cell>
          <cell r="AQ14">
            <v>0.173563293273334</v>
          </cell>
          <cell r="AR14">
            <v>9</v>
          </cell>
          <cell r="AS14">
            <v>567.46448</v>
          </cell>
          <cell r="AT14">
            <v>1702.723082</v>
          </cell>
          <cell r="AU14">
            <v>0.184002108871809</v>
          </cell>
          <cell r="AV14">
            <v>14</v>
          </cell>
          <cell r="AW14">
            <v>2.00058090331927</v>
          </cell>
          <cell r="AX14">
            <v>15</v>
          </cell>
          <cell r="AY14">
            <v>9124.646781</v>
          </cell>
          <cell r="AZ14">
            <v>8501.270212</v>
          </cell>
          <cell r="BA14">
            <v>-0.0683178849506855</v>
          </cell>
          <cell r="BB14">
            <v>0.0841336589332876</v>
          </cell>
          <cell r="BC14">
            <v>0.0758459261906043</v>
          </cell>
          <cell r="BD14">
            <v>8</v>
          </cell>
          <cell r="BE14">
            <v>-0.00828773274268327</v>
          </cell>
          <cell r="BF14">
            <v>7485.979929</v>
          </cell>
          <cell r="BG14">
            <v>6405.629972</v>
          </cell>
          <cell r="BH14">
            <v>0.813230829800425</v>
          </cell>
          <cell r="BI14">
            <v>0.741694942623532</v>
          </cell>
          <cell r="BJ14">
            <v>15</v>
          </cell>
        </row>
        <row r="15">
          <cell r="B15" t="str">
            <v>内江</v>
          </cell>
          <cell r="C15">
            <v>87486.8093159926</v>
          </cell>
          <cell r="D15">
            <v>8336.97699699262</v>
          </cell>
          <cell r="E15">
            <v>88473.8785944045</v>
          </cell>
          <cell r="F15">
            <v>9659.87859440452</v>
          </cell>
          <cell r="G15">
            <v>0.0112824925966462</v>
          </cell>
          <cell r="H15">
            <v>0.158678811023361</v>
          </cell>
          <cell r="I15">
            <v>6617.000608</v>
          </cell>
          <cell r="J15">
            <v>7491.429624</v>
          </cell>
          <cell r="K15">
            <v>0.132148849275125</v>
          </cell>
          <cell r="L15">
            <v>0.0756342660080348</v>
          </cell>
          <cell r="M15">
            <v>0.0846739144142573</v>
          </cell>
          <cell r="N15">
            <v>6</v>
          </cell>
          <cell r="O15">
            <v>0.00903964840622255</v>
          </cell>
          <cell r="P15">
            <v>4137.440482</v>
          </cell>
          <cell r="Q15">
            <v>4495.838504</v>
          </cell>
          <cell r="R15">
            <v>0.0866231245039575</v>
          </cell>
          <cell r="S15">
            <v>0.496275866359292</v>
          </cell>
          <cell r="T15">
            <v>0.465413561885158</v>
          </cell>
          <cell r="U15">
            <v>10</v>
          </cell>
          <cell r="V15">
            <v>-0.030862304474134</v>
          </cell>
          <cell r="W15">
            <v>698.684226</v>
          </cell>
          <cell r="X15">
            <v>3797.154278</v>
          </cell>
          <cell r="Y15">
            <v>2930.543429</v>
          </cell>
          <cell r="Z15">
            <v>5194.150831</v>
          </cell>
          <cell r="AA15">
            <v>0.218546681193033</v>
          </cell>
          <cell r="AB15">
            <v>11</v>
          </cell>
          <cell r="AC15">
            <v>0.670123927487722</v>
          </cell>
          <cell r="AD15">
            <v>11</v>
          </cell>
          <cell r="AE15">
            <v>2479.560126</v>
          </cell>
          <cell r="AF15">
            <v>2995.59112</v>
          </cell>
          <cell r="AG15">
            <v>0.208113926574733</v>
          </cell>
          <cell r="AH15">
            <v>0.0313274210867125</v>
          </cell>
          <cell r="AI15">
            <v>0.0380083629811962</v>
          </cell>
          <cell r="AJ15">
            <v>11</v>
          </cell>
          <cell r="AK15">
            <v>0.00668094189448373</v>
          </cell>
          <cell r="AL15">
            <v>1930.601631</v>
          </cell>
          <cell r="AM15">
            <v>1121.702666</v>
          </cell>
          <cell r="AN15">
            <v>-0.41898802529293</v>
          </cell>
          <cell r="AO15">
            <v>2</v>
          </cell>
          <cell r="AP15">
            <v>0.291763858789115</v>
          </cell>
          <cell r="AQ15">
            <v>0.14973145611706</v>
          </cell>
          <cell r="AR15">
            <v>0</v>
          </cell>
          <cell r="AS15">
            <v>1676.539645</v>
          </cell>
          <cell r="AT15">
            <v>825.927092</v>
          </cell>
          <cell r="AU15">
            <v>0.183709243840757</v>
          </cell>
          <cell r="AV15">
            <v>13</v>
          </cell>
          <cell r="AW15">
            <v>-0.507362027218867</v>
          </cell>
          <cell r="AX15">
            <v>2</v>
          </cell>
          <cell r="AY15">
            <v>5396.826484</v>
          </cell>
          <cell r="AZ15">
            <v>5149.124123</v>
          </cell>
          <cell r="BA15">
            <v>-0.0458977811746153</v>
          </cell>
          <cell r="BB15">
            <v>0.061687316364542</v>
          </cell>
          <cell r="BC15">
            <v>0.0581993714393986</v>
          </cell>
          <cell r="BD15">
            <v>14</v>
          </cell>
          <cell r="BE15">
            <v>-0.0034879449251435</v>
          </cell>
          <cell r="BF15">
            <v>7757.634491</v>
          </cell>
          <cell r="BG15">
            <v>6738.054362</v>
          </cell>
          <cell r="BH15">
            <v>1.05797478399531</v>
          </cell>
          <cell r="BI15">
            <v>0.939512741721754</v>
          </cell>
          <cell r="BJ15">
            <v>3</v>
          </cell>
        </row>
        <row r="16">
          <cell r="B16" t="str">
            <v>巴中</v>
          </cell>
          <cell r="C16">
            <v>77707.532493087</v>
          </cell>
          <cell r="D16">
            <v>7596.70859308697</v>
          </cell>
          <cell r="E16">
            <v>78754.2696767902</v>
          </cell>
          <cell r="F16">
            <v>8513.2696767902</v>
          </cell>
          <cell r="G16">
            <v>0.0134702151788995</v>
          </cell>
          <cell r="H16">
            <v>0.120652394714377</v>
          </cell>
          <cell r="I16">
            <v>8943.0168</v>
          </cell>
          <cell r="J16">
            <v>11348.610124</v>
          </cell>
          <cell r="K16">
            <v>0.268991256283898</v>
          </cell>
          <cell r="L16">
            <v>0.115085584538353</v>
          </cell>
          <cell r="M16">
            <v>0.144101521994617</v>
          </cell>
          <cell r="N16">
            <v>20</v>
          </cell>
          <cell r="O16">
            <v>0.029015937456264</v>
          </cell>
          <cell r="P16">
            <v>6629.181062</v>
          </cell>
          <cell r="Q16">
            <v>8648.559688</v>
          </cell>
          <cell r="R16">
            <v>0.304619621505821</v>
          </cell>
          <cell r="S16">
            <v>0.872638588247623</v>
          </cell>
          <cell r="T16">
            <v>1.01589166282124</v>
          </cell>
          <cell r="U16">
            <v>21</v>
          </cell>
          <cell r="V16">
            <v>0.143253074573613</v>
          </cell>
          <cell r="W16">
            <v>1072.883068</v>
          </cell>
          <cell r="X16">
            <v>7575.67662</v>
          </cell>
          <cell r="Y16">
            <v>2237.238805</v>
          </cell>
          <cell r="Z16">
            <v>6966.172164</v>
          </cell>
          <cell r="AA16">
            <v>0.439593727530873</v>
          </cell>
          <cell r="AB16">
            <v>21</v>
          </cell>
          <cell r="AC16">
            <v>0.996870314358197</v>
          </cell>
          <cell r="AD16">
            <v>21</v>
          </cell>
          <cell r="AE16">
            <v>2313.835738</v>
          </cell>
          <cell r="AF16">
            <v>2700.050436</v>
          </cell>
          <cell r="AG16">
            <v>0.166915348249323</v>
          </cell>
          <cell r="AH16">
            <v>0.0330025466723976</v>
          </cell>
          <cell r="AI16">
            <v>0.0384398063239419</v>
          </cell>
          <cell r="AJ16">
            <v>12</v>
          </cell>
          <cell r="AK16">
            <v>0.00543725965154426</v>
          </cell>
          <cell r="AL16">
            <v>1593.628035</v>
          </cell>
          <cell r="AM16">
            <v>3386.829152</v>
          </cell>
          <cell r="AN16">
            <v>1.1252319095905</v>
          </cell>
          <cell r="AO16">
            <v>11</v>
          </cell>
          <cell r="AP16">
            <v>0.178198036595436</v>
          </cell>
          <cell r="AQ16">
            <v>0.298435589468136</v>
          </cell>
          <cell r="AR16">
            <v>19</v>
          </cell>
          <cell r="AS16">
            <v>764.907065</v>
          </cell>
          <cell r="AT16">
            <v>2398.403681</v>
          </cell>
          <cell r="AU16">
            <v>0.277318278132233</v>
          </cell>
          <cell r="AV16">
            <v>19</v>
          </cell>
          <cell r="AW16">
            <v>2.13554912844216</v>
          </cell>
          <cell r="AX16">
            <v>17</v>
          </cell>
          <cell r="AY16">
            <v>6378.85628</v>
          </cell>
          <cell r="AZ16">
            <v>6375.284984</v>
          </cell>
          <cell r="BA16">
            <v>-0.000559864628271622</v>
          </cell>
          <cell r="BB16">
            <v>0.0820880045389097</v>
          </cell>
          <cell r="BC16">
            <v>0.0809516107528437</v>
          </cell>
          <cell r="BD16">
            <v>6</v>
          </cell>
          <cell r="BE16">
            <v>-0.00113639378606603</v>
          </cell>
          <cell r="BF16">
            <v>7685.253159</v>
          </cell>
          <cell r="BG16">
            <v>6206.450297</v>
          </cell>
          <cell r="BH16">
            <v>1.14159713939649</v>
          </cell>
          <cell r="BI16">
            <v>0.975451018112604</v>
          </cell>
          <cell r="BJ16">
            <v>1</v>
          </cell>
        </row>
        <row r="17">
          <cell r="B17" t="str">
            <v>广安</v>
          </cell>
          <cell r="C17">
            <v>85384.9795560445</v>
          </cell>
          <cell r="D17">
            <v>11191.0494950444</v>
          </cell>
          <cell r="E17">
            <v>85367.4503703127</v>
          </cell>
          <cell r="F17">
            <v>12066.4503703127</v>
          </cell>
          <cell r="G17">
            <v>-0.000205295894230462</v>
          </cell>
          <cell r="H17">
            <v>0.0782233047629663</v>
          </cell>
          <cell r="I17">
            <v>5221.149856</v>
          </cell>
          <cell r="J17">
            <v>9384.322857</v>
          </cell>
          <cell r="K17">
            <v>0.797367077333702</v>
          </cell>
          <cell r="L17">
            <v>0.0611483411151135</v>
          </cell>
          <cell r="M17">
            <v>0.109928583040633</v>
          </cell>
          <cell r="N17">
            <v>16</v>
          </cell>
          <cell r="O17">
            <v>0.0487802419255191</v>
          </cell>
          <cell r="P17">
            <v>3308.446911</v>
          </cell>
          <cell r="Q17">
            <v>6960.044025</v>
          </cell>
          <cell r="R17">
            <v>1.10371942250579</v>
          </cell>
          <cell r="S17">
            <v>0.295633301636727</v>
          </cell>
          <cell r="T17">
            <v>0.576809567967388</v>
          </cell>
          <cell r="U17">
            <v>17</v>
          </cell>
          <cell r="V17">
            <v>0.281176266330662</v>
          </cell>
          <cell r="W17">
            <v>1182.667324</v>
          </cell>
          <cell r="X17">
            <v>5777.376701</v>
          </cell>
          <cell r="Y17">
            <v>3714.049762</v>
          </cell>
          <cell r="Z17">
            <v>7157.830452</v>
          </cell>
          <cell r="AA17">
            <v>0.291894773397672</v>
          </cell>
          <cell r="AB17">
            <v>15</v>
          </cell>
          <cell r="AC17">
            <v>0.739879028722114</v>
          </cell>
          <cell r="AD17">
            <v>16</v>
          </cell>
          <cell r="AE17">
            <v>1912.702945</v>
          </cell>
          <cell r="AF17">
            <v>2424.278832</v>
          </cell>
          <cell r="AG17">
            <v>0.2674622781009</v>
          </cell>
          <cell r="AH17">
            <v>0.0257797766397794</v>
          </cell>
          <cell r="AI17">
            <v>0.0330729298645312</v>
          </cell>
          <cell r="AJ17">
            <v>9</v>
          </cell>
          <cell r="AK17">
            <v>0.00729315322475174</v>
          </cell>
          <cell r="AL17">
            <v>560.753582</v>
          </cell>
          <cell r="AM17">
            <v>1209.489841</v>
          </cell>
          <cell r="AN17">
            <v>1.15690078463021</v>
          </cell>
          <cell r="AO17">
            <v>12</v>
          </cell>
          <cell r="AP17">
            <v>0.107400399809555</v>
          </cell>
          <cell r="AQ17">
            <v>0.128884082467155</v>
          </cell>
          <cell r="AR17">
            <v>3</v>
          </cell>
          <cell r="AS17">
            <v>310.759254</v>
          </cell>
          <cell r="AT17">
            <v>667.103839</v>
          </cell>
          <cell r="AU17">
            <v>0.0958476464522076</v>
          </cell>
          <cell r="AV17">
            <v>4</v>
          </cell>
          <cell r="AW17">
            <v>1.14669018030272</v>
          </cell>
          <cell r="AX17">
            <v>9</v>
          </cell>
          <cell r="AY17">
            <v>3571.300777</v>
          </cell>
          <cell r="AZ17">
            <v>3547.124816</v>
          </cell>
          <cell r="BA17">
            <v>-0.00676951130963221</v>
          </cell>
          <cell r="BB17">
            <v>0.0418258667457534</v>
          </cell>
          <cell r="BC17">
            <v>0.0415512563701158</v>
          </cell>
          <cell r="BD17">
            <v>21</v>
          </cell>
          <cell r="BE17">
            <v>-0.000274610375637648</v>
          </cell>
          <cell r="BF17">
            <v>6275.122641</v>
          </cell>
          <cell r="BG17">
            <v>5322.496158</v>
          </cell>
          <cell r="BH17">
            <v>0.845126165098817</v>
          </cell>
          <cell r="BI17">
            <v>0.78041789762998</v>
          </cell>
          <cell r="BJ17">
            <v>14</v>
          </cell>
        </row>
        <row r="18">
          <cell r="B18" t="str">
            <v>自贡</v>
          </cell>
          <cell r="C18">
            <v>81589.1345996973</v>
          </cell>
          <cell r="D18">
            <v>9567.37989069726</v>
          </cell>
          <cell r="E18">
            <v>79471.7157842806</v>
          </cell>
          <cell r="F18">
            <v>10683.7157842806</v>
          </cell>
          <cell r="G18">
            <v>-0.0259522156449561</v>
          </cell>
          <cell r="H18">
            <v>0.116681464135107</v>
          </cell>
          <cell r="I18">
            <v>7111.742258</v>
          </cell>
          <cell r="J18">
            <v>8416.687881</v>
          </cell>
          <cell r="K18">
            <v>0.18349169242348</v>
          </cell>
          <cell r="L18">
            <v>0.0871653105881379</v>
          </cell>
          <cell r="M18">
            <v>0.105907967355913</v>
          </cell>
          <cell r="N18">
            <v>12</v>
          </cell>
          <cell r="O18">
            <v>0.0187426567677753</v>
          </cell>
          <cell r="P18">
            <v>4971.442891</v>
          </cell>
          <cell r="Q18">
            <v>7465.587335</v>
          </cell>
          <cell r="R18">
            <v>0.501694276427322</v>
          </cell>
          <cell r="S18">
            <v>0.519624280398224</v>
          </cell>
          <cell r="T18">
            <v>0.698781911250806</v>
          </cell>
          <cell r="U18">
            <v>20</v>
          </cell>
          <cell r="V18">
            <v>0.179157630852582</v>
          </cell>
          <cell r="W18">
            <v>548.420929</v>
          </cell>
          <cell r="X18">
            <v>6917.166406</v>
          </cell>
          <cell r="Y18">
            <v>4055.276697</v>
          </cell>
          <cell r="Z18">
            <v>8593.334145</v>
          </cell>
          <cell r="AA18">
            <v>0.123966679089633</v>
          </cell>
          <cell r="AB18">
            <v>2</v>
          </cell>
          <cell r="AC18">
            <v>0.737866788975732</v>
          </cell>
          <cell r="AD18">
            <v>15</v>
          </cell>
          <cell r="AE18">
            <v>2140.299367</v>
          </cell>
          <cell r="AF18">
            <v>951.100546</v>
          </cell>
          <cell r="AG18">
            <v>-0.555622656968248</v>
          </cell>
          <cell r="AH18">
            <v>0.0297174010220629</v>
          </cell>
          <cell r="AI18">
            <v>0.0138265474501367</v>
          </cell>
          <cell r="AJ18">
            <v>1</v>
          </cell>
          <cell r="AK18">
            <v>-0.0158908535719262</v>
          </cell>
          <cell r="AL18">
            <v>912.162984</v>
          </cell>
          <cell r="AM18">
            <v>1774.760958</v>
          </cell>
          <cell r="AN18">
            <v>0.945662112068341</v>
          </cell>
          <cell r="AO18">
            <v>8</v>
          </cell>
          <cell r="AP18">
            <v>0.128261535768385</v>
          </cell>
          <cell r="AQ18">
            <v>0.210862156598011</v>
          </cell>
          <cell r="AR18">
            <v>15</v>
          </cell>
          <cell r="AS18">
            <v>693.91124</v>
          </cell>
          <cell r="AT18">
            <v>1153.189237</v>
          </cell>
          <cell r="AU18">
            <v>0.154467315865912</v>
          </cell>
          <cell r="AV18">
            <v>9</v>
          </cell>
          <cell r="AW18">
            <v>0.661868507851235</v>
          </cell>
          <cell r="AX18">
            <v>8</v>
          </cell>
          <cell r="AY18">
            <v>6822.711086</v>
          </cell>
          <cell r="AZ18">
            <v>7182.317829</v>
          </cell>
          <cell r="BA18">
            <v>0.0527073092304762</v>
          </cell>
          <cell r="BB18">
            <v>0.0836227902094369</v>
          </cell>
          <cell r="BC18">
            <v>0.0903757740489183</v>
          </cell>
          <cell r="BD18">
            <v>4</v>
          </cell>
          <cell r="BE18">
            <v>0.00675298383948138</v>
          </cell>
          <cell r="BF18">
            <v>5113.123047</v>
          </cell>
          <cell r="BG18">
            <v>4220.929211</v>
          </cell>
          <cell r="BH18">
            <v>0.78231439014591</v>
          </cell>
          <cell r="BI18">
            <v>0.644638995843073</v>
          </cell>
          <cell r="BJ18">
            <v>18</v>
          </cell>
        </row>
        <row r="19">
          <cell r="B19" t="str">
            <v>广元</v>
          </cell>
          <cell r="C19">
            <v>74002.6261510923</v>
          </cell>
          <cell r="D19">
            <v>11380.1527230923</v>
          </cell>
          <cell r="E19">
            <v>74169.461442107</v>
          </cell>
          <cell r="F19">
            <v>12354.461442107</v>
          </cell>
          <cell r="G19">
            <v>0.00225445095251176</v>
          </cell>
          <cell r="H19">
            <v>0.0856147314295403</v>
          </cell>
          <cell r="I19">
            <v>5338.284133</v>
          </cell>
          <cell r="J19">
            <v>7923.852043</v>
          </cell>
          <cell r="K19">
            <v>0.484344378377433</v>
          </cell>
          <cell r="L19">
            <v>0.0721364147550756</v>
          </cell>
          <cell r="M19">
            <v>0.106834428738369</v>
          </cell>
          <cell r="N19">
            <v>13</v>
          </cell>
          <cell r="O19">
            <v>0.0346980139832935</v>
          </cell>
          <cell r="P19">
            <v>3066.404348</v>
          </cell>
          <cell r="Q19">
            <v>4971.762642</v>
          </cell>
          <cell r="R19">
            <v>0.621365637980109</v>
          </cell>
          <cell r="S19">
            <v>0.269451950480219</v>
          </cell>
          <cell r="T19">
            <v>0.402426497123948</v>
          </cell>
          <cell r="U19">
            <v>8</v>
          </cell>
          <cell r="V19">
            <v>0.132974546643729</v>
          </cell>
          <cell r="W19">
            <v>604.531373</v>
          </cell>
          <cell r="X19">
            <v>4367.231269</v>
          </cell>
          <cell r="Y19">
            <v>3845.599936</v>
          </cell>
          <cell r="Z19">
            <v>6225.605798</v>
          </cell>
          <cell r="AA19">
            <v>0.144100730134642</v>
          </cell>
          <cell r="AB19">
            <v>5</v>
          </cell>
          <cell r="AC19">
            <v>0.643037072986976</v>
          </cell>
          <cell r="AD19">
            <v>9</v>
          </cell>
          <cell r="AE19">
            <v>2271.879785</v>
          </cell>
          <cell r="AF19">
            <v>2952.089401</v>
          </cell>
          <cell r="AG19">
            <v>0.299403877129</v>
          </cell>
          <cell r="AH19">
            <v>0.0362789851731437</v>
          </cell>
          <cell r="AI19">
            <v>0.0477568454420448</v>
          </cell>
          <cell r="AJ19">
            <v>16</v>
          </cell>
          <cell r="AK19">
            <v>0.0114778602689011</v>
          </cell>
          <cell r="AL19">
            <v>486.676492</v>
          </cell>
          <cell r="AM19">
            <v>1428.695432</v>
          </cell>
          <cell r="AN19">
            <v>1.9356162779278</v>
          </cell>
          <cell r="AO19">
            <v>17</v>
          </cell>
          <cell r="AP19">
            <v>0.0911672140101127</v>
          </cell>
          <cell r="AQ19">
            <v>0.180303143502297</v>
          </cell>
          <cell r="AR19">
            <v>11</v>
          </cell>
          <cell r="AS19">
            <v>233.827653</v>
          </cell>
          <cell r="AT19">
            <v>698.19573</v>
          </cell>
          <cell r="AU19">
            <v>0.140432233047862</v>
          </cell>
          <cell r="AV19">
            <v>6</v>
          </cell>
          <cell r="AW19">
            <v>1.98594165849152</v>
          </cell>
          <cell r="AX19">
            <v>14</v>
          </cell>
          <cell r="AY19">
            <v>4714.59575</v>
          </cell>
          <cell r="AZ19">
            <v>4919.271158</v>
          </cell>
          <cell r="BA19">
            <v>0.0434131405645966</v>
          </cell>
          <cell r="BB19">
            <v>0.0637084924577425</v>
          </cell>
          <cell r="BC19">
            <v>0.0663247522949825</v>
          </cell>
          <cell r="BD19">
            <v>11</v>
          </cell>
          <cell r="BE19">
            <v>0.00261625983724</v>
          </cell>
          <cell r="BF19">
            <v>5059.500291</v>
          </cell>
          <cell r="BG19">
            <v>4384.827492</v>
          </cell>
          <cell r="BH19">
            <v>0.885947425448128</v>
          </cell>
          <cell r="BI19">
            <v>0.823682495352971</v>
          </cell>
          <cell r="BJ19">
            <v>10</v>
          </cell>
        </row>
        <row r="20">
          <cell r="B20" t="str">
            <v>遂宁</v>
          </cell>
          <cell r="C20">
            <v>74765.4419522697</v>
          </cell>
          <cell r="D20">
            <v>8549.57793026971</v>
          </cell>
          <cell r="E20">
            <v>75931.2383485031</v>
          </cell>
          <cell r="F20">
            <v>9378.23834850306</v>
          </cell>
          <cell r="G20">
            <v>0.01559271724733</v>
          </cell>
          <cell r="H20">
            <v>0.0969241318100025</v>
          </cell>
          <cell r="I20">
            <v>4641.964691</v>
          </cell>
          <cell r="J20">
            <v>6748.138439</v>
          </cell>
          <cell r="K20">
            <v>0.453724637777517</v>
          </cell>
          <cell r="L20">
            <v>0.0620870360662542</v>
          </cell>
          <cell r="M20">
            <v>0.0888717026848415</v>
          </cell>
          <cell r="N20">
            <v>7</v>
          </cell>
          <cell r="O20">
            <v>0.0267846666185873</v>
          </cell>
          <cell r="P20">
            <v>2928.155975</v>
          </cell>
          <cell r="Q20">
            <v>5300.888256</v>
          </cell>
          <cell r="R20">
            <v>0.810316219920628</v>
          </cell>
          <cell r="S20">
            <v>0.342491290082624</v>
          </cell>
          <cell r="T20">
            <v>0.565232835743199</v>
          </cell>
          <cell r="U20">
            <v>16</v>
          </cell>
          <cell r="V20">
            <v>0.222741545660575</v>
          </cell>
          <cell r="W20">
            <v>758.279609</v>
          </cell>
          <cell r="X20">
            <v>4542.608647</v>
          </cell>
          <cell r="Y20">
            <v>3272.831255</v>
          </cell>
          <cell r="Z20">
            <v>4321.330204</v>
          </cell>
          <cell r="AA20">
            <v>0.212381753725135</v>
          </cell>
          <cell r="AB20">
            <v>10</v>
          </cell>
          <cell r="AC20">
            <v>0.96360558666918</v>
          </cell>
          <cell r="AD20">
            <v>20</v>
          </cell>
          <cell r="AE20">
            <v>1713.808716</v>
          </cell>
          <cell r="AF20">
            <v>1447.250183</v>
          </cell>
          <cell r="AG20">
            <v>-0.155535755251696</v>
          </cell>
          <cell r="AH20">
            <v>0.0258821468437019</v>
          </cell>
          <cell r="AI20">
            <v>0.0217458293840999</v>
          </cell>
          <cell r="AJ20">
            <v>4</v>
          </cell>
          <cell r="AK20">
            <v>-0.004136317459602</v>
          </cell>
          <cell r="AL20">
            <v>485.259085</v>
          </cell>
          <cell r="AM20">
            <v>1600.978401</v>
          </cell>
          <cell r="AN20">
            <v>2.29922396197899</v>
          </cell>
          <cell r="AO20">
            <v>19</v>
          </cell>
          <cell r="AP20">
            <v>0.104537435612304</v>
          </cell>
          <cell r="AQ20">
            <v>0.237247415042251</v>
          </cell>
          <cell r="AR20">
            <v>16</v>
          </cell>
          <cell r="AS20">
            <v>302.487245</v>
          </cell>
          <cell r="AT20">
            <v>1295.667961</v>
          </cell>
          <cell r="AU20">
            <v>0.244424688547896</v>
          </cell>
          <cell r="AV20">
            <v>16</v>
          </cell>
          <cell r="AW20">
            <v>3.28338048105136</v>
          </cell>
          <cell r="AX20">
            <v>18</v>
          </cell>
          <cell r="AY20">
            <v>3027.006901</v>
          </cell>
          <cell r="AZ20">
            <v>3733.419112</v>
          </cell>
          <cell r="BA20">
            <v>0.23336987132954</v>
          </cell>
          <cell r="BB20">
            <v>0.0404867118010543</v>
          </cell>
          <cell r="BC20">
            <v>0.0491684212348105</v>
          </cell>
          <cell r="BD20">
            <v>19</v>
          </cell>
          <cell r="BE20">
            <v>0.00868170943375621</v>
          </cell>
          <cell r="BF20">
            <v>6340.609067</v>
          </cell>
          <cell r="BG20">
            <v>5283.599956</v>
          </cell>
          <cell r="BH20">
            <v>1.03206732556937</v>
          </cell>
          <cell r="BI20">
            <v>0.909865049056232</v>
          </cell>
          <cell r="BJ20">
            <v>4</v>
          </cell>
        </row>
        <row r="21">
          <cell r="B21" t="str">
            <v>资阳</v>
          </cell>
          <cell r="C21">
            <v>61742.007236564</v>
          </cell>
          <cell r="D21">
            <v>4113.30143756403</v>
          </cell>
          <cell r="E21">
            <v>64172.5578319425</v>
          </cell>
          <cell r="F21">
            <v>6114.15783194247</v>
          </cell>
          <cell r="G21">
            <v>0.0393662387111235</v>
          </cell>
          <cell r="H21">
            <v>0.486435634428821</v>
          </cell>
          <cell r="I21">
            <v>3565.107808</v>
          </cell>
          <cell r="J21">
            <v>4562.859518</v>
          </cell>
          <cell r="K21">
            <v>0.279865789124546</v>
          </cell>
          <cell r="L21">
            <v>0.0577420133806198</v>
          </cell>
          <cell r="M21">
            <v>0.0711029709918901</v>
          </cell>
          <cell r="N21">
            <v>2</v>
          </cell>
          <cell r="O21">
            <v>0.0133609576112704</v>
          </cell>
          <cell r="P21">
            <v>2475.663309</v>
          </cell>
          <cell r="Q21">
            <v>3268.923344</v>
          </cell>
          <cell r="R21">
            <v>0.320423230459566</v>
          </cell>
          <cell r="S21">
            <v>0.601867708111889</v>
          </cell>
          <cell r="T21">
            <v>0.534648177860574</v>
          </cell>
          <cell r="U21">
            <v>14</v>
          </cell>
          <cell r="V21">
            <v>-0.0672195302513147</v>
          </cell>
          <cell r="W21">
            <v>377.423371</v>
          </cell>
          <cell r="X21">
            <v>2891.499973</v>
          </cell>
          <cell r="Y21">
            <v>1777.031888</v>
          </cell>
          <cell r="Z21">
            <v>3758.430747</v>
          </cell>
          <cell r="AA21">
            <v>0.194690610648551</v>
          </cell>
          <cell r="AB21">
            <v>8</v>
          </cell>
          <cell r="AC21">
            <v>0.705225616843504</v>
          </cell>
          <cell r="AD21">
            <v>12</v>
          </cell>
          <cell r="AE21">
            <v>1089.444499</v>
          </cell>
          <cell r="AF21">
            <v>1293.936174</v>
          </cell>
          <cell r="AG21">
            <v>0.187702700952369</v>
          </cell>
          <cell r="AH21">
            <v>0.0189045456408446</v>
          </cell>
          <cell r="AI21">
            <v>0.0222868038733413</v>
          </cell>
          <cell r="AJ21">
            <v>5</v>
          </cell>
          <cell r="AK21">
            <v>0.00338225823249673</v>
          </cell>
          <cell r="AL21">
            <v>380.238127</v>
          </cell>
          <cell r="AM21">
            <v>802.092617</v>
          </cell>
          <cell r="AN21">
            <v>1.10944815904797</v>
          </cell>
          <cell r="AO21">
            <v>10</v>
          </cell>
          <cell r="AP21">
            <v>0.106655435817889</v>
          </cell>
          <cell r="AQ21">
            <v>0.17578726976709</v>
          </cell>
          <cell r="AR21">
            <v>10</v>
          </cell>
          <cell r="AS21">
            <v>196.614636</v>
          </cell>
          <cell r="AT21">
            <v>502.799386</v>
          </cell>
          <cell r="AU21">
            <v>0.153811923097821</v>
          </cell>
          <cell r="AV21">
            <v>8</v>
          </cell>
          <cell r="AW21">
            <v>1.55728360934432</v>
          </cell>
          <cell r="AX21">
            <v>12</v>
          </cell>
          <cell r="AY21">
            <v>3887.206946</v>
          </cell>
          <cell r="AZ21">
            <v>4491.630532</v>
          </cell>
          <cell r="BA21">
            <v>0.155490457389196</v>
          </cell>
          <cell r="BB21">
            <v>0.0629588690096549</v>
          </cell>
          <cell r="BC21">
            <v>0.0699930107782652</v>
          </cell>
          <cell r="BD21">
            <v>9</v>
          </cell>
          <cell r="BE21">
            <v>0.00703414176861031</v>
          </cell>
          <cell r="BF21">
            <v>5883.46005</v>
          </cell>
          <cell r="BG21">
            <v>4505.231063</v>
          </cell>
          <cell r="BH21">
            <v>1.03424186379337</v>
          </cell>
          <cell r="BI21">
            <v>0.84720967069308</v>
          </cell>
          <cell r="BJ21">
            <v>9</v>
          </cell>
        </row>
        <row r="22">
          <cell r="B22" t="str">
            <v>甘孜</v>
          </cell>
          <cell r="C22">
            <v>57221.629940173</v>
          </cell>
          <cell r="D22">
            <v>16455.209782173</v>
          </cell>
          <cell r="E22">
            <v>59138.3698399853</v>
          </cell>
          <cell r="F22">
            <v>18143.3698399853</v>
          </cell>
          <cell r="G22">
            <v>0.0334967721439656</v>
          </cell>
          <cell r="H22">
            <v>0.102591220662601</v>
          </cell>
          <cell r="I22">
            <v>5098.796038</v>
          </cell>
          <cell r="J22">
            <v>8742.195801</v>
          </cell>
          <cell r="K22">
            <v>0.714560797460163</v>
          </cell>
          <cell r="L22">
            <v>0.0891060957776098</v>
          </cell>
          <cell r="M22">
            <v>0.147826120751288</v>
          </cell>
          <cell r="N22">
            <v>21</v>
          </cell>
          <cell r="O22">
            <v>0.0587200249736783</v>
          </cell>
          <cell r="P22">
            <v>3199.35801</v>
          </cell>
          <cell r="Q22">
            <v>5806.386583</v>
          </cell>
          <cell r="R22">
            <v>0.814859907785062</v>
          </cell>
          <cell r="S22">
            <v>0.194428272404407</v>
          </cell>
          <cell r="T22">
            <v>0.320028012117329</v>
          </cell>
          <cell r="U22">
            <v>3</v>
          </cell>
          <cell r="V22">
            <v>0.125599739712922</v>
          </cell>
          <cell r="W22">
            <v>2976.808251</v>
          </cell>
          <cell r="X22">
            <v>2829.578332</v>
          </cell>
          <cell r="Y22">
            <v>7148.104486</v>
          </cell>
          <cell r="Z22">
            <v>6615.086508</v>
          </cell>
          <cell r="AA22">
            <v>0.381743286222859</v>
          </cell>
          <cell r="AB22">
            <v>20</v>
          </cell>
          <cell r="AC22">
            <v>0.392100713200026</v>
          </cell>
          <cell r="AD22">
            <v>2</v>
          </cell>
          <cell r="AE22">
            <v>1899.438028</v>
          </cell>
          <cell r="AF22">
            <v>2935.809218</v>
          </cell>
          <cell r="AG22">
            <v>0.545619901635453</v>
          </cell>
          <cell r="AH22">
            <v>0.0465932014790181</v>
          </cell>
          <cell r="AI22">
            <v>0.0716138362727162</v>
          </cell>
          <cell r="AJ22">
            <v>21</v>
          </cell>
          <cell r="AK22">
            <v>0.0250206347936981</v>
          </cell>
          <cell r="AL22">
            <v>1312.346558</v>
          </cell>
          <cell r="AM22">
            <v>1159.759552</v>
          </cell>
          <cell r="AN22">
            <v>-0.116270359433518</v>
          </cell>
          <cell r="AO22">
            <v>3</v>
          </cell>
          <cell r="AP22">
            <v>0.257383615312208</v>
          </cell>
          <cell r="AQ22">
            <v>0.132662271401807</v>
          </cell>
          <cell r="AR22">
            <v>5</v>
          </cell>
          <cell r="AS22">
            <v>609.091579</v>
          </cell>
          <cell r="AT22">
            <v>351.171069</v>
          </cell>
          <cell r="AU22">
            <v>0.0604801392363647</v>
          </cell>
          <cell r="AV22">
            <v>3</v>
          </cell>
          <cell r="AW22">
            <v>-0.423451117849062</v>
          </cell>
          <cell r="AX22">
            <v>3</v>
          </cell>
          <cell r="AY22">
            <v>6436.612133</v>
          </cell>
          <cell r="AZ22">
            <v>6488.094481</v>
          </cell>
          <cell r="BA22">
            <v>0.00799836108440566</v>
          </cell>
          <cell r="BB22">
            <v>0.11248564816713</v>
          </cell>
          <cell r="BC22">
            <v>0.109710404574142</v>
          </cell>
          <cell r="BD22">
            <v>2</v>
          </cell>
          <cell r="BE22">
            <v>-0.0027752435929882</v>
          </cell>
          <cell r="BF22">
            <v>1948.906112</v>
          </cell>
          <cell r="BG22">
            <v>2308.057516</v>
          </cell>
          <cell r="BH22">
            <v>0.452037776356327</v>
          </cell>
          <cell r="BI22">
            <v>0.502730054795928</v>
          </cell>
          <cell r="BJ22">
            <v>20</v>
          </cell>
        </row>
        <row r="23">
          <cell r="B23" t="str">
            <v>雅安</v>
          </cell>
          <cell r="C23">
            <v>55656.4640550355</v>
          </cell>
          <cell r="D23">
            <v>10789.5396620355</v>
          </cell>
          <cell r="E23">
            <v>56414.2200194601</v>
          </cell>
          <cell r="F23">
            <v>11740.2200194601</v>
          </cell>
          <cell r="G23">
            <v>0.0136148779353877</v>
          </cell>
          <cell r="H23">
            <v>0.0881112992030328</v>
          </cell>
          <cell r="I23">
            <v>2726.428954</v>
          </cell>
          <cell r="J23">
            <v>2759.192565</v>
          </cell>
          <cell r="K23">
            <v>0.0120170419082191</v>
          </cell>
          <cell r="L23">
            <v>0.0489867439531191</v>
          </cell>
          <cell r="M23">
            <v>0.0489095225290399</v>
          </cell>
          <cell r="N23">
            <v>1</v>
          </cell>
          <cell r="O23">
            <v>-7.72214240791422e-5</v>
          </cell>
          <cell r="P23">
            <v>1317.475277</v>
          </cell>
          <cell r="Q23">
            <v>1906.928921</v>
          </cell>
          <cell r="R23">
            <v>0.447411541066816</v>
          </cell>
          <cell r="S23">
            <v>0.122106718012792</v>
          </cell>
          <cell r="T23">
            <v>0.162427017367575</v>
          </cell>
          <cell r="U23">
            <v>1</v>
          </cell>
          <cell r="V23">
            <v>0.0403202993547836</v>
          </cell>
          <cell r="W23">
            <v>1361.833894</v>
          </cell>
          <cell r="X23">
            <v>545.095027</v>
          </cell>
          <cell r="Y23">
            <v>7065.961656</v>
          </cell>
          <cell r="Z23">
            <v>6035.403786</v>
          </cell>
          <cell r="AA23">
            <v>0.176670607192815</v>
          </cell>
          <cell r="AB23">
            <v>7</v>
          </cell>
          <cell r="AC23">
            <v>0.0827898942860667</v>
          </cell>
          <cell r="AD23">
            <v>1</v>
          </cell>
          <cell r="AE23">
            <v>1408.953677</v>
          </cell>
          <cell r="AF23">
            <v>852.263643999999</v>
          </cell>
          <cell r="AG23">
            <v>-0.395108825852478</v>
          </cell>
          <cell r="AH23">
            <v>0.0314029476292745</v>
          </cell>
          <cell r="AI23">
            <v>0.01907739723329</v>
          </cell>
          <cell r="AJ23">
            <v>2</v>
          </cell>
          <cell r="AK23">
            <v>-0.0123255503959845</v>
          </cell>
          <cell r="AL23">
            <v>249.276237</v>
          </cell>
          <cell r="AM23">
            <v>290.051194</v>
          </cell>
          <cell r="AN23">
            <v>0.163573381445099</v>
          </cell>
          <cell r="AO23">
            <v>5</v>
          </cell>
          <cell r="AP23">
            <v>0.0914295737045639</v>
          </cell>
          <cell r="AQ23">
            <v>0.105121765577097</v>
          </cell>
          <cell r="AR23">
            <v>2</v>
          </cell>
          <cell r="AS23">
            <v>160.284602</v>
          </cell>
          <cell r="AT23">
            <v>105.120911</v>
          </cell>
          <cell r="AU23">
            <v>0.0551257626030834</v>
          </cell>
          <cell r="AV23">
            <v>2</v>
          </cell>
          <cell r="AW23">
            <v>-0.344160888267982</v>
          </cell>
          <cell r="AX23">
            <v>4</v>
          </cell>
          <cell r="AY23">
            <v>3734.14123</v>
          </cell>
          <cell r="AZ23">
            <v>3529.895675</v>
          </cell>
          <cell r="BA23">
            <v>-0.0546967943684337</v>
          </cell>
          <cell r="BB23">
            <v>0.0670926781533861</v>
          </cell>
          <cell r="BC23">
            <v>0.0625710268400833</v>
          </cell>
          <cell r="BD23">
            <v>13</v>
          </cell>
          <cell r="BE23">
            <v>-0.00452165131330286</v>
          </cell>
          <cell r="BF23">
            <v>4695.767819</v>
          </cell>
          <cell r="BG23">
            <v>3246.190318</v>
          </cell>
          <cell r="BH23">
            <v>0.8318483805589</v>
          </cell>
          <cell r="BI23">
            <v>0.684683724409668</v>
          </cell>
          <cell r="BJ23">
            <v>16</v>
          </cell>
        </row>
        <row r="24">
          <cell r="B24" t="str">
            <v>阿坝</v>
          </cell>
          <cell r="C24">
            <v>43837.1132383559</v>
          </cell>
          <cell r="D24">
            <v>8900.75600535587</v>
          </cell>
          <cell r="E24">
            <v>45301.2004900351</v>
          </cell>
          <cell r="F24">
            <v>10350.2004900351</v>
          </cell>
          <cell r="G24">
            <v>0.0333983500172219</v>
          </cell>
          <cell r="H24">
            <v>0.162845098080102</v>
          </cell>
          <cell r="I24">
            <v>3307.521469</v>
          </cell>
          <cell r="J24">
            <v>5528.837541</v>
          </cell>
          <cell r="K24">
            <v>0.671595360096512</v>
          </cell>
          <cell r="L24">
            <v>0.075450257205943</v>
          </cell>
          <cell r="M24">
            <v>0.122046159509971</v>
          </cell>
          <cell r="N24">
            <v>18</v>
          </cell>
          <cell r="O24">
            <v>0.046595902304028</v>
          </cell>
          <cell r="P24">
            <v>1761.902627</v>
          </cell>
          <cell r="Q24">
            <v>3417.370602</v>
          </cell>
          <cell r="R24">
            <v>0.939591070261796</v>
          </cell>
          <cell r="S24">
            <v>0.197949772574353</v>
          </cell>
          <cell r="T24">
            <v>0.330174338679734</v>
          </cell>
          <cell r="U24">
            <v>4</v>
          </cell>
          <cell r="V24">
            <v>0.132224566105381</v>
          </cell>
          <cell r="W24">
            <v>1199.171702</v>
          </cell>
          <cell r="X24">
            <v>2218.1989</v>
          </cell>
          <cell r="Y24">
            <v>4799.487616</v>
          </cell>
          <cell r="Z24">
            <v>3645.945901</v>
          </cell>
          <cell r="AA24">
            <v>0.229032933259127</v>
          </cell>
          <cell r="AB24">
            <v>12</v>
          </cell>
          <cell r="AC24">
            <v>0.557701361149919</v>
          </cell>
          <cell r="AD24">
            <v>4</v>
          </cell>
          <cell r="AE24">
            <v>1545.618842</v>
          </cell>
          <cell r="AF24">
            <v>2111.466939</v>
          </cell>
          <cell r="AG24">
            <v>0.366098084226124</v>
          </cell>
          <cell r="AH24">
            <v>0.0442409845906901</v>
          </cell>
          <cell r="AI24">
            <v>0.0604122039140511</v>
          </cell>
          <cell r="AJ24">
            <v>20</v>
          </cell>
          <cell r="AK24">
            <v>0.016171219323361</v>
          </cell>
          <cell r="AL24">
            <v>582.08339</v>
          </cell>
          <cell r="AM24">
            <v>1152.079601</v>
          </cell>
          <cell r="AN24">
            <v>0.97923462650257</v>
          </cell>
          <cell r="AO24">
            <v>9</v>
          </cell>
          <cell r="AP24">
            <v>0.175987788879262</v>
          </cell>
          <cell r="AQ24">
            <v>0.208376461137909</v>
          </cell>
          <cell r="AR24">
            <v>14</v>
          </cell>
          <cell r="AS24">
            <v>223.053004</v>
          </cell>
          <cell r="AT24">
            <v>520.846742</v>
          </cell>
          <cell r="AU24">
            <v>0.152411547549211</v>
          </cell>
          <cell r="AV24">
            <v>7</v>
          </cell>
          <cell r="AW24">
            <v>1.33508059815236</v>
          </cell>
          <cell r="AX24">
            <v>11</v>
          </cell>
          <cell r="AY24">
            <v>6929.526394</v>
          </cell>
          <cell r="AZ24">
            <v>6130.356484</v>
          </cell>
          <cell r="BA24">
            <v>-0.115328215026639</v>
          </cell>
          <cell r="BB24">
            <v>0.158074423293387</v>
          </cell>
          <cell r="BC24">
            <v>0.135324371488753</v>
          </cell>
          <cell r="BD24">
            <v>1</v>
          </cell>
          <cell r="BE24">
            <v>-0.0227500518046335</v>
          </cell>
          <cell r="BF24">
            <v>1119.749081</v>
          </cell>
          <cell r="BG24">
            <v>501.706987999999</v>
          </cell>
          <cell r="BH24">
            <v>0.334018145020621</v>
          </cell>
          <cell r="BI24">
            <v>0.134671744097753</v>
          </cell>
          <cell r="BJ24">
            <v>21</v>
          </cell>
        </row>
        <row r="25">
          <cell r="B25" t="str">
            <v>攀枝花</v>
          </cell>
          <cell r="C25">
            <v>41681.5980668821</v>
          </cell>
          <cell r="D25">
            <v>5590.13373888209</v>
          </cell>
          <cell r="E25">
            <v>40623.8028209367</v>
          </cell>
          <cell r="F25">
            <v>6186.80282093672</v>
          </cell>
          <cell r="G25">
            <v>-0.025377991607905</v>
          </cell>
          <cell r="H25">
            <v>0.106736101482601</v>
          </cell>
          <cell r="I25">
            <v>5513.276361</v>
          </cell>
          <cell r="J25">
            <v>4452.939981</v>
          </cell>
          <cell r="K25">
            <v>-0.192324184490486</v>
          </cell>
          <cell r="L25">
            <v>0.132271232790869</v>
          </cell>
          <cell r="M25">
            <v>0.10961406052082</v>
          </cell>
          <cell r="N25">
            <v>15</v>
          </cell>
          <cell r="O25">
            <v>-0.0226571722700494</v>
          </cell>
          <cell r="P25">
            <v>3112.035425</v>
          </cell>
          <cell r="Q25">
            <v>2777.056803</v>
          </cell>
          <cell r="R25">
            <v>-0.107639720071631</v>
          </cell>
          <cell r="S25">
            <v>0.556701426184902</v>
          </cell>
          <cell r="T25">
            <v>0.448867837455912</v>
          </cell>
          <cell r="U25">
            <v>9</v>
          </cell>
          <cell r="V25">
            <v>-0.107833588728991</v>
          </cell>
          <cell r="W25">
            <v>647.25239</v>
          </cell>
          <cell r="X25">
            <v>2129.804413</v>
          </cell>
          <cell r="Y25">
            <v>1936.283653</v>
          </cell>
          <cell r="Z25">
            <v>3160.695106</v>
          </cell>
          <cell r="AA25">
            <v>0.306419304792495</v>
          </cell>
          <cell r="AB25">
            <v>16</v>
          </cell>
          <cell r="AC25">
            <v>0.617687137304242</v>
          </cell>
          <cell r="AD25">
            <v>7</v>
          </cell>
          <cell r="AE25">
            <v>2401.240936</v>
          </cell>
          <cell r="AF25">
            <v>1675.883178</v>
          </cell>
          <cell r="AG25">
            <v>-0.302076208649143</v>
          </cell>
          <cell r="AH25">
            <v>0.0665321006146348</v>
          </cell>
          <cell r="AI25">
            <v>0.0486651908702849</v>
          </cell>
          <cell r="AJ25">
            <v>17</v>
          </cell>
          <cell r="AK25">
            <v>-0.0178669097443499</v>
          </cell>
          <cell r="AL25">
            <v>3137.519673</v>
          </cell>
          <cell r="AM25">
            <v>1717.026533</v>
          </cell>
          <cell r="AN25">
            <v>-0.452743978698871</v>
          </cell>
          <cell r="AO25">
            <v>1</v>
          </cell>
          <cell r="AP25">
            <v>0.569084418694171</v>
          </cell>
          <cell r="AQ25">
            <v>0.385593908816711</v>
          </cell>
          <cell r="AR25">
            <v>20</v>
          </cell>
          <cell r="AS25">
            <v>1674.38511</v>
          </cell>
          <cell r="AT25">
            <v>796.189909</v>
          </cell>
          <cell r="AU25">
            <v>0.28670278121063</v>
          </cell>
          <cell r="AV25">
            <v>20</v>
          </cell>
          <cell r="AW25">
            <v>-0.524488181216566</v>
          </cell>
          <cell r="AX25">
            <v>1</v>
          </cell>
          <cell r="AY25">
            <v>4569.06681</v>
          </cell>
          <cell r="AZ25">
            <v>3572.351079</v>
          </cell>
          <cell r="BA25">
            <v>-0.218144267187899</v>
          </cell>
          <cell r="BB25">
            <v>0.109618321319362</v>
          </cell>
          <cell r="BC25">
            <v>0.0879373872196643</v>
          </cell>
          <cell r="BD25">
            <v>5</v>
          </cell>
          <cell r="BE25">
            <v>-0.0216809340996982</v>
          </cell>
          <cell r="BF25">
            <v>3518.367137</v>
          </cell>
          <cell r="BG25">
            <v>1888.908158</v>
          </cell>
          <cell r="BH25">
            <v>1.01732074428752</v>
          </cell>
          <cell r="BI25">
            <v>0.503553928399957</v>
          </cell>
          <cell r="BJ25">
            <v>19</v>
          </cell>
        </row>
        <row r="26">
          <cell r="B26" t="str">
            <v>市州合计</v>
          </cell>
          <cell r="C26">
            <v>3051811.98025629</v>
          </cell>
          <cell r="D26">
            <v>429644.336208292</v>
          </cell>
          <cell r="E26">
            <v>3108676.88710614</v>
          </cell>
          <cell r="F26">
            <v>486690.265586706</v>
          </cell>
        </row>
        <row r="26">
          <cell r="I26">
            <v>216671.221559</v>
          </cell>
          <cell r="J26">
            <v>285398.856541</v>
          </cell>
          <cell r="K26">
            <v>0.317197800831548</v>
          </cell>
          <cell r="L26">
            <v>0.0709975656956441</v>
          </cell>
          <cell r="M26">
            <v>0.0918071793581215</v>
          </cell>
        </row>
        <row r="26">
          <cell r="O26">
            <v>0.0208096136624773</v>
          </cell>
          <cell r="P26">
            <v>131867.99178</v>
          </cell>
          <cell r="Q26">
            <v>200433.190428</v>
          </cell>
          <cell r="R26">
            <v>0.519953308778599</v>
          </cell>
          <cell r="S26">
            <v>0.306923612548381</v>
          </cell>
          <cell r="T26">
            <v>0.411829051453038</v>
          </cell>
        </row>
        <row r="26">
          <cell r="V26">
            <v>0.104905438904657</v>
          </cell>
          <cell r="W26">
            <v>35541.565473</v>
          </cell>
          <cell r="X26">
            <v>164891.624955</v>
          </cell>
          <cell r="Y26">
            <v>171371.326588</v>
          </cell>
          <cell r="Z26">
            <v>256134.060763</v>
          </cell>
          <cell r="AA26">
            <v>0.190112132518973</v>
          </cell>
        </row>
        <row r="26">
          <cell r="AC26">
            <v>0.59012321812447</v>
          </cell>
        </row>
        <row r="26">
          <cell r="AE26">
            <v>84803.229779</v>
          </cell>
          <cell r="AF26">
            <v>84965.666113</v>
          </cell>
          <cell r="AG26">
            <v>0.00191544985283398</v>
          </cell>
          <cell r="AH26">
            <v>0.0323408878801067</v>
          </cell>
          <cell r="AI26">
            <v>0.032405072327853</v>
          </cell>
        </row>
        <row r="26">
          <cell r="AK26">
            <v>6.41844477462378e-5</v>
          </cell>
          <cell r="AL26">
            <v>38202.337877</v>
          </cell>
          <cell r="AM26">
            <v>56901.068184</v>
          </cell>
          <cell r="AN26">
            <v>0.489465602005937</v>
          </cell>
        </row>
        <row r="26">
          <cell r="AP26">
            <v>0.176314775917749</v>
          </cell>
          <cell r="AQ26">
            <v>0.199373847791943</v>
          </cell>
        </row>
        <row r="26">
          <cell r="AS26">
            <v>21415.723933</v>
          </cell>
          <cell r="AT26">
            <v>36358.532152</v>
          </cell>
          <cell r="AU26">
            <v>0.181399757566902</v>
          </cell>
        </row>
        <row r="26">
          <cell r="AW26">
            <v>0.697749385720007</v>
          </cell>
        </row>
        <row r="26">
          <cell r="AY26">
            <v>236350.018862</v>
          </cell>
          <cell r="AZ26">
            <v>234475.572844</v>
          </cell>
          <cell r="BA26">
            <v>-0.00793080545127611</v>
          </cell>
          <cell r="BB26">
            <v>0.0774457995417368</v>
          </cell>
          <cell r="BC26">
            <v>0.0754261640431447</v>
          </cell>
        </row>
        <row r="26">
          <cell r="BE26">
            <v>-0.00201963549859216</v>
          </cell>
          <cell r="BF26">
            <v>236589.331234</v>
          </cell>
          <cell r="BG26">
            <v>203501.843905</v>
          </cell>
          <cell r="BH26">
            <v>0.890386066880709</v>
          </cell>
          <cell r="BI26">
            <v>0.803849452391953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B29"/>
  <sheetViews>
    <sheetView tabSelected="1" workbookViewId="0">
      <selection activeCell="A24" sqref="A24:B24"/>
    </sheetView>
  </sheetViews>
  <sheetFormatPr defaultColWidth="9" defaultRowHeight="13.8"/>
  <cols>
    <col min="4" max="4" width="9.33333333333333"/>
    <col min="6" max="6" width="9.33333333333333"/>
    <col min="7" max="7" width="11"/>
    <col min="8" max="8" width="11" customWidth="1"/>
    <col min="10" max="10" width="11.8888888888889" customWidth="1"/>
    <col min="11" max="11" width="9.22222222222222" customWidth="1"/>
    <col min="12" max="13" width="11.8888888888889" customWidth="1"/>
    <col min="14" max="14" width="11.8888888888889" style="2"/>
    <col min="15" max="15" width="9.33333333333333"/>
    <col min="16" max="16" width="11.2222222222222"/>
    <col min="17" max="17" width="9.55555555555556"/>
    <col min="18" max="18" width="14" customWidth="1"/>
    <col min="19" max="19" width="10.8888888888889" customWidth="1"/>
    <col min="20" max="20" width="12.6666666666667" customWidth="1"/>
    <col min="21" max="21" width="9.33333333333333"/>
    <col min="22" max="22" width="12.1111111111111" customWidth="1"/>
    <col min="23" max="23" width="9.33333333333333"/>
    <col min="24" max="24" width="11.2222222222222"/>
    <col min="25" max="25" width="9.33333333333333"/>
    <col min="26" max="26" width="9.44444444444444"/>
    <col min="27" max="27" width="9.33333333333333"/>
    <col min="28" max="28" width="9.44444444444444"/>
    <col min="29" max="29" width="9.33333333333333"/>
    <col min="30" max="31" width="9.44444444444444"/>
    <col min="32" max="32" width="11"/>
    <col min="33" max="33" width="9.44444444444444"/>
    <col min="34" max="34" width="11.8888888888889" customWidth="1"/>
    <col min="35" max="35" width="9.44444444444444"/>
    <col min="36" max="36" width="11.3333333333333" customWidth="1"/>
    <col min="37" max="37" width="11.2222222222222"/>
    <col min="38" max="38" width="9.44444444444444"/>
    <col min="39" max="39" width="9.33333333333333"/>
    <col min="40" max="40" width="12.5555555555556" customWidth="1"/>
    <col min="41" max="41" width="9.33333333333333"/>
    <col min="42" max="42" width="11.2222222222222"/>
    <col min="43" max="43" width="9.33333333333333"/>
    <col min="44" max="44" width="10.3333333333333" customWidth="1"/>
    <col min="45" max="45" width="9.33333333333333"/>
    <col min="46" max="46" width="12.6666666666667" customWidth="1"/>
    <col min="47" max="47" width="9.33333333333333"/>
    <col min="48" max="48" width="9.44444444444444"/>
    <col min="49" max="49" width="9.33333333333333"/>
    <col min="50" max="50" width="9.44444444444444"/>
    <col min="51" max="51" width="9.33333333333333"/>
    <col min="52" max="52" width="9.44444444444444"/>
    <col min="54" max="54" width="9.44444444444444"/>
  </cols>
  <sheetData>
    <row r="1" s="1" customFormat="1" spans="1:54">
      <c r="A1" s="3" t="s">
        <v>0</v>
      </c>
      <c r="B1" s="4" t="s">
        <v>1</v>
      </c>
      <c r="C1" s="5">
        <v>202602</v>
      </c>
      <c r="D1" s="5"/>
      <c r="E1" s="5">
        <v>202601</v>
      </c>
      <c r="F1" s="5"/>
      <c r="G1" s="5">
        <v>202512</v>
      </c>
      <c r="H1" s="5"/>
      <c r="I1" s="5">
        <v>202511</v>
      </c>
      <c r="J1" s="5"/>
      <c r="K1" s="5">
        <v>202510</v>
      </c>
      <c r="L1" s="5"/>
      <c r="M1" s="5">
        <v>202509</v>
      </c>
      <c r="N1" s="5"/>
      <c r="O1" s="5">
        <v>202508</v>
      </c>
      <c r="P1" s="5"/>
      <c r="Q1" s="28">
        <v>202507</v>
      </c>
      <c r="R1" s="28"/>
      <c r="S1" s="5">
        <v>202506</v>
      </c>
      <c r="T1" s="5"/>
      <c r="U1" s="28">
        <v>202505</v>
      </c>
      <c r="V1" s="28"/>
      <c r="W1" s="5">
        <v>202504</v>
      </c>
      <c r="X1" s="5"/>
      <c r="Y1" s="28">
        <v>202503</v>
      </c>
      <c r="Z1" s="28"/>
      <c r="AA1" s="5">
        <v>202502</v>
      </c>
      <c r="AB1" s="5"/>
      <c r="AC1" s="5">
        <v>202501</v>
      </c>
      <c r="AD1" s="5"/>
      <c r="AE1" s="34">
        <v>202412</v>
      </c>
      <c r="AF1" s="35"/>
      <c r="AG1" s="34">
        <v>202411</v>
      </c>
      <c r="AH1" s="35"/>
      <c r="AI1" s="34">
        <v>202410</v>
      </c>
      <c r="AJ1" s="35"/>
      <c r="AK1" s="34">
        <v>202409</v>
      </c>
      <c r="AL1" s="35"/>
      <c r="AM1" s="34">
        <v>202408</v>
      </c>
      <c r="AN1" s="35"/>
      <c r="AO1" s="34">
        <v>202407</v>
      </c>
      <c r="AP1" s="35"/>
      <c r="AQ1" s="5">
        <v>202406</v>
      </c>
      <c r="AR1" s="5"/>
      <c r="AS1" s="5">
        <v>202405</v>
      </c>
      <c r="AT1" s="5"/>
      <c r="AU1" s="5">
        <v>202404</v>
      </c>
      <c r="AV1" s="5"/>
      <c r="AW1" s="5">
        <v>202403</v>
      </c>
      <c r="AX1" s="5"/>
      <c r="AY1" s="5">
        <v>202402</v>
      </c>
      <c r="AZ1" s="5"/>
      <c r="BA1" s="5">
        <v>202401</v>
      </c>
      <c r="BB1" s="5"/>
    </row>
    <row r="2" s="1" customFormat="1" ht="46.8" spans="1:54">
      <c r="A2" s="3"/>
      <c r="B2" s="4"/>
      <c r="C2" s="6" t="s">
        <v>2</v>
      </c>
      <c r="D2" s="6" t="s">
        <v>3</v>
      </c>
      <c r="E2" s="6" t="s">
        <v>2</v>
      </c>
      <c r="F2" s="6" t="s">
        <v>3</v>
      </c>
      <c r="G2" s="6" t="s">
        <v>2</v>
      </c>
      <c r="H2" s="6" t="s">
        <v>3</v>
      </c>
      <c r="I2" s="6" t="s">
        <v>2</v>
      </c>
      <c r="J2" s="6" t="s">
        <v>3</v>
      </c>
      <c r="K2" s="6" t="s">
        <v>2</v>
      </c>
      <c r="L2" s="6" t="s">
        <v>3</v>
      </c>
      <c r="M2" s="6" t="s">
        <v>2</v>
      </c>
      <c r="N2" s="6" t="s">
        <v>3</v>
      </c>
      <c r="O2" s="6" t="s">
        <v>2</v>
      </c>
      <c r="P2" s="6" t="s">
        <v>3</v>
      </c>
      <c r="Q2" s="29" t="s">
        <v>2</v>
      </c>
      <c r="R2" s="6" t="s">
        <v>3</v>
      </c>
      <c r="S2" s="30" t="s">
        <v>2</v>
      </c>
      <c r="T2" s="30" t="s">
        <v>3</v>
      </c>
      <c r="U2" s="30" t="s">
        <v>2</v>
      </c>
      <c r="V2" s="30" t="s">
        <v>3</v>
      </c>
      <c r="W2" s="30" t="s">
        <v>2</v>
      </c>
      <c r="X2" s="30" t="s">
        <v>3</v>
      </c>
      <c r="Y2" s="30" t="s">
        <v>2</v>
      </c>
      <c r="Z2" s="30" t="s">
        <v>3</v>
      </c>
      <c r="AA2" s="30" t="s">
        <v>2</v>
      </c>
      <c r="AB2" s="30" t="s">
        <v>3</v>
      </c>
      <c r="AC2" s="30" t="s">
        <v>2</v>
      </c>
      <c r="AD2" s="30" t="s">
        <v>3</v>
      </c>
      <c r="AE2" s="30" t="s">
        <v>2</v>
      </c>
      <c r="AF2" s="30" t="s">
        <v>3</v>
      </c>
      <c r="AG2" s="30" t="s">
        <v>2</v>
      </c>
      <c r="AH2" s="30" t="s">
        <v>3</v>
      </c>
      <c r="AI2" s="30" t="s">
        <v>2</v>
      </c>
      <c r="AJ2" s="30" t="s">
        <v>3</v>
      </c>
      <c r="AK2" s="30" t="s">
        <v>2</v>
      </c>
      <c r="AL2" s="30" t="s">
        <v>3</v>
      </c>
      <c r="AM2" s="30" t="s">
        <v>2</v>
      </c>
      <c r="AN2" s="30" t="s">
        <v>3</v>
      </c>
      <c r="AO2" s="30" t="s">
        <v>2</v>
      </c>
      <c r="AP2" s="30" t="s">
        <v>3</v>
      </c>
      <c r="AQ2" s="30" t="s">
        <v>2</v>
      </c>
      <c r="AR2" s="30" t="s">
        <v>3</v>
      </c>
      <c r="AS2" s="30" t="s">
        <v>2</v>
      </c>
      <c r="AT2" s="30" t="s">
        <v>3</v>
      </c>
      <c r="AU2" s="30" t="s">
        <v>2</v>
      </c>
      <c r="AV2" s="30" t="s">
        <v>3</v>
      </c>
      <c r="AW2" s="30" t="s">
        <v>2</v>
      </c>
      <c r="AX2" s="30" t="s">
        <v>3</v>
      </c>
      <c r="AY2" s="30" t="s">
        <v>2</v>
      </c>
      <c r="AZ2" s="30" t="s">
        <v>3</v>
      </c>
      <c r="BA2" s="30" t="s">
        <v>2</v>
      </c>
      <c r="BB2" s="30" t="s">
        <v>3</v>
      </c>
    </row>
    <row r="3" ht="15" spans="1:54">
      <c r="A3" s="7" t="s">
        <v>4</v>
      </c>
      <c r="B3" s="7" t="s">
        <v>5</v>
      </c>
      <c r="C3" s="8">
        <f>VLOOKUP(B3,'[2]2026年2月'!$B$2:$BJ$26,60,0)</f>
        <v>0.898203133408652</v>
      </c>
      <c r="D3" s="7">
        <f>VLOOKUP(B3,'[2]2026年2月'!$B$2:$BJ$27,58,0)</f>
        <v>154446.042295</v>
      </c>
      <c r="E3" s="8">
        <f>VLOOKUP(B3,'[3]2026年1月'!$B$2:$BJ$26,60,0)</f>
        <v>0.807281293934247</v>
      </c>
      <c r="F3" s="7">
        <f>VLOOKUP(B3,'[3]2026年1月'!$B$2:$BJ$26,58,0)</f>
        <v>72034.2050110001</v>
      </c>
      <c r="G3" s="8">
        <f>VLOOKUP(B3,[1]Sheet1!$B$2:$BJ$26,60,0)</f>
        <v>1.0794419323922</v>
      </c>
      <c r="H3" s="9">
        <f>VLOOKUP(B3,[1]Sheet1!$B$2:$BJ$26,58,0)</f>
        <v>1117224.67958598</v>
      </c>
      <c r="I3" s="8">
        <v>1.02588426158905</v>
      </c>
      <c r="J3" s="13">
        <v>1041684.580862</v>
      </c>
      <c r="K3" s="14">
        <v>1.03048015415413</v>
      </c>
      <c r="L3" s="15">
        <v>899334.972884</v>
      </c>
      <c r="M3" s="8">
        <v>1.02895658290502</v>
      </c>
      <c r="N3" s="16">
        <v>802882.256343</v>
      </c>
      <c r="O3" s="17">
        <v>1.01705042764406</v>
      </c>
      <c r="P3" s="18">
        <v>706413.088891</v>
      </c>
      <c r="Q3" s="17">
        <v>1.01633116440046</v>
      </c>
      <c r="R3" s="18">
        <v>619589.975506</v>
      </c>
      <c r="S3" s="31">
        <v>0.963153762850426</v>
      </c>
      <c r="T3" s="18">
        <v>504935.714204</v>
      </c>
      <c r="U3" s="31">
        <v>0.931810903560953</v>
      </c>
      <c r="V3" s="18">
        <v>402176.88329</v>
      </c>
      <c r="W3" s="31">
        <v>0.930495999962928</v>
      </c>
      <c r="X3" s="18">
        <v>323869.545738</v>
      </c>
      <c r="Y3" s="31">
        <v>0.88121600596496</v>
      </c>
      <c r="Z3" s="18">
        <v>231974.812744415</v>
      </c>
      <c r="AA3" s="31">
        <v>0.850014550074293</v>
      </c>
      <c r="AB3" s="18">
        <v>146781.293643</v>
      </c>
      <c r="AC3" s="36">
        <v>0.849444369519422</v>
      </c>
      <c r="AD3" s="37">
        <v>77423.217045</v>
      </c>
      <c r="AE3" s="38">
        <f>VLOOKUP(B3,[1]Sheet1!$B$2:$BL$26,59,0)</f>
        <v>1.05145145824042</v>
      </c>
      <c r="AF3" s="37">
        <f>VLOOKUP(B3,[1]Sheet1!$B$2:$BL$26,57,0)</f>
        <v>1075493.024249</v>
      </c>
      <c r="AG3" s="44">
        <v>1.00221868068438</v>
      </c>
      <c r="AH3" s="40">
        <v>1002628.024482</v>
      </c>
      <c r="AI3" s="45">
        <v>0.99226157045382</v>
      </c>
      <c r="AJ3" s="40">
        <v>901195.961805</v>
      </c>
      <c r="AK3" s="15">
        <v>757481.752688276</v>
      </c>
      <c r="AL3" s="14">
        <v>0.988710466950293</v>
      </c>
      <c r="AM3" s="31">
        <v>0.983089575550147</v>
      </c>
      <c r="AN3" s="18">
        <v>667161.371334277</v>
      </c>
      <c r="AO3" s="31">
        <v>0.98428989336775</v>
      </c>
      <c r="AP3" s="18">
        <v>581877.891931277</v>
      </c>
      <c r="AQ3" s="31">
        <v>0.976471194624027</v>
      </c>
      <c r="AR3" s="18">
        <v>495627.389978</v>
      </c>
      <c r="AS3" s="31">
        <v>0.951564440997665</v>
      </c>
      <c r="AT3" s="18">
        <v>407099.430867</v>
      </c>
      <c r="AU3" s="31">
        <v>0.922323225806718</v>
      </c>
      <c r="AV3" s="18">
        <v>316087.953595</v>
      </c>
      <c r="AW3" s="31">
        <v>0.899569751450883</v>
      </c>
      <c r="AX3" s="18">
        <v>226934.180432</v>
      </c>
      <c r="AY3" s="31">
        <v>0.824686706269467</v>
      </c>
      <c r="AZ3" s="18">
        <v>134839.251995</v>
      </c>
      <c r="BA3" s="31">
        <v>0.91752527072312</v>
      </c>
      <c r="BB3" s="18">
        <v>73833.365302</v>
      </c>
    </row>
    <row r="4" ht="15" spans="1:54">
      <c r="A4" s="7" t="s">
        <v>6</v>
      </c>
      <c r="B4" s="7" t="s">
        <v>7</v>
      </c>
      <c r="C4" s="8">
        <f>VLOOKUP(B4,'[2]2026年2月'!$B$2:$BJ$26,60,0)</f>
        <v>0.95386828194537</v>
      </c>
      <c r="D4" s="7">
        <f>VLOOKUP(B4,'[2]2026年2月'!$B$2:$BJ$27,58,0)</f>
        <v>12275.001935</v>
      </c>
      <c r="E4" s="8">
        <f>VLOOKUP(B4,'[3]2026年1月'!$B$2:$BJ$26,60,0)</f>
        <v>0.644638995843073</v>
      </c>
      <c r="F4" s="7">
        <f>VLOOKUP(B4,'[3]2026年1月'!$B$2:$BJ$26,58,0)</f>
        <v>4220.929211</v>
      </c>
      <c r="G4" s="8">
        <f>VLOOKUP(B4,[1]Sheet1!$B$2:$BJ$26,60,0)</f>
        <v>1.0903555794429</v>
      </c>
      <c r="H4" s="9">
        <f>VLOOKUP(B4,[1]Sheet1!$B$2:$BJ$26,58,0)</f>
        <v>88961.1681326973</v>
      </c>
      <c r="I4" s="8">
        <v>0.962903460858955</v>
      </c>
      <c r="J4" s="13">
        <v>72607.99911</v>
      </c>
      <c r="K4" s="14">
        <v>0.963551352054901</v>
      </c>
      <c r="L4" s="15">
        <v>66025.555868</v>
      </c>
      <c r="M4" s="8">
        <v>0.94829558027692</v>
      </c>
      <c r="N4" s="16">
        <v>58490.260398</v>
      </c>
      <c r="O4" s="17">
        <v>1.02132998116161</v>
      </c>
      <c r="P4" s="18">
        <v>56357.56824</v>
      </c>
      <c r="Q4" s="17">
        <v>1.06613683750707</v>
      </c>
      <c r="R4" s="18">
        <v>51617.161957</v>
      </c>
      <c r="S4" s="31">
        <v>1.01982296874936</v>
      </c>
      <c r="T4" s="18">
        <v>42192.786515</v>
      </c>
      <c r="U4" s="31">
        <v>1.00843756532209</v>
      </c>
      <c r="V4" s="18">
        <v>35641.780383</v>
      </c>
      <c r="W4" s="31">
        <v>1.04489840603368</v>
      </c>
      <c r="X4" s="18">
        <v>29014.298722</v>
      </c>
      <c r="Y4" s="31">
        <v>1.04017589138826</v>
      </c>
      <c r="Z4" s="18">
        <v>21501.296743</v>
      </c>
      <c r="AA4" s="31">
        <v>0.919085455051965</v>
      </c>
      <c r="AB4" s="18">
        <v>13225.872486</v>
      </c>
      <c r="AC4" s="39">
        <v>1.02785386672295</v>
      </c>
      <c r="AD4" s="40">
        <v>6717.942762</v>
      </c>
      <c r="AE4" s="38">
        <f>VLOOKUP(B4,[1]Sheet1!$B$2:$BL$26,59,0)</f>
        <v>1.01862204010231</v>
      </c>
      <c r="AF4" s="37">
        <f>VLOOKUP(B4,[1]Sheet1!$B$2:$BL$26,57,0)</f>
        <v>81114.896982</v>
      </c>
      <c r="AG4" s="44">
        <v>0.999593812063175</v>
      </c>
      <c r="AH4" s="40">
        <v>74484.447163</v>
      </c>
      <c r="AI4" s="45">
        <v>0.980912042045913</v>
      </c>
      <c r="AJ4" s="40">
        <v>66850.680452</v>
      </c>
      <c r="AK4" s="15">
        <v>59427.014152</v>
      </c>
      <c r="AL4" s="14">
        <v>0.980909331921588</v>
      </c>
      <c r="AM4" s="31">
        <v>0.974425206304221</v>
      </c>
      <c r="AN4" s="18">
        <v>52998.389962</v>
      </c>
      <c r="AO4" s="31">
        <v>0.972975888574401</v>
      </c>
      <c r="AP4" s="18">
        <v>46651.341302</v>
      </c>
      <c r="AQ4" s="31">
        <v>0.961199594597191</v>
      </c>
      <c r="AR4" s="18">
        <v>40067.924468</v>
      </c>
      <c r="AS4" s="31">
        <v>0.989187218643738</v>
      </c>
      <c r="AT4" s="18">
        <v>33721.922846</v>
      </c>
      <c r="AU4" s="31">
        <v>0.997709597053176</v>
      </c>
      <c r="AV4" s="18">
        <v>26503.094626</v>
      </c>
      <c r="AW4" s="31">
        <v>0.9763358615345</v>
      </c>
      <c r="AX4" s="18">
        <v>20071.257148</v>
      </c>
      <c r="AY4" s="31">
        <v>0.964453679818087</v>
      </c>
      <c r="AZ4" s="18">
        <v>12703.824313</v>
      </c>
      <c r="BA4" s="31">
        <v>0.808249822052643</v>
      </c>
      <c r="BB4" s="18">
        <v>5702.65397</v>
      </c>
    </row>
    <row r="5" ht="15" spans="1:54">
      <c r="A5" s="7" t="s">
        <v>8</v>
      </c>
      <c r="B5" s="7" t="s">
        <v>9</v>
      </c>
      <c r="C5" s="8">
        <f>VLOOKUP(B5,'[2]2026年2月'!$B$2:$BJ$26,60,0)</f>
        <v>0.640663201035014</v>
      </c>
      <c r="D5" s="7">
        <f>VLOOKUP(B5,'[2]2026年2月'!$B$2:$BJ$27,58,0)</f>
        <v>4429.525669</v>
      </c>
      <c r="E5" s="8">
        <f>VLOOKUP(B5,'[3]2026年1月'!$B$2:$BJ$26,60,0)</f>
        <v>0.503553928399957</v>
      </c>
      <c r="F5" s="7">
        <f>VLOOKUP(B5,'[3]2026年1月'!$B$2:$BJ$26,58,0)</f>
        <v>1888.908158</v>
      </c>
      <c r="G5" s="8">
        <f>VLOOKUP(B5,[1]Sheet1!$B$2:$BJ$26,60,0)</f>
        <v>1.13082274852443</v>
      </c>
      <c r="H5" s="9">
        <f>VLOOKUP(B5,[1]Sheet1!$B$2:$BJ$26,58,0)</f>
        <v>47134.4992888821</v>
      </c>
      <c r="I5" s="8">
        <v>1.07120773018278</v>
      </c>
      <c r="J5" s="13">
        <v>40122.653032</v>
      </c>
      <c r="K5" s="14">
        <v>1.06392362753662</v>
      </c>
      <c r="L5" s="15">
        <v>35925.870398</v>
      </c>
      <c r="M5" s="8">
        <v>1.08406625359786</v>
      </c>
      <c r="N5" s="16">
        <v>32964.544516</v>
      </c>
      <c r="O5" s="17">
        <v>1.01229025097739</v>
      </c>
      <c r="P5" s="18">
        <v>27192.335783</v>
      </c>
      <c r="Q5" s="17">
        <v>1.00663755534317</v>
      </c>
      <c r="R5" s="18">
        <v>23856.158579</v>
      </c>
      <c r="S5" s="31">
        <v>0.981978734232538</v>
      </c>
      <c r="T5" s="18">
        <v>20157.12824</v>
      </c>
      <c r="U5" s="31">
        <v>0.977388810788642</v>
      </c>
      <c r="V5" s="18">
        <v>16416.15257</v>
      </c>
      <c r="W5" s="31">
        <v>1.03017904711154</v>
      </c>
      <c r="X5" s="18">
        <v>13955.47002</v>
      </c>
      <c r="Y5" s="31">
        <v>1.01663790173318</v>
      </c>
      <c r="Z5" s="18">
        <v>10411.336896</v>
      </c>
      <c r="AA5" s="31">
        <v>1.00907971824674</v>
      </c>
      <c r="AB5" s="18">
        <v>6813.687608</v>
      </c>
      <c r="AC5" s="39">
        <v>1.0009778471114</v>
      </c>
      <c r="AD5" s="40">
        <v>3461.845816</v>
      </c>
      <c r="AE5" s="38">
        <f>VLOOKUP(B5,[1]Sheet1!$B$2:$BL$26,59,0)</f>
        <v>1.05047871177223</v>
      </c>
      <c r="AF5" s="37">
        <f>VLOOKUP(B5,[1]Sheet1!$B$2:$BL$26,57,0)</f>
        <v>41027.872298</v>
      </c>
      <c r="AG5" s="44">
        <v>1.03288925992151</v>
      </c>
      <c r="AH5" s="40">
        <v>38286.166542</v>
      </c>
      <c r="AI5" s="45">
        <v>1.02235328966408</v>
      </c>
      <c r="AJ5" s="40">
        <v>34656.981323</v>
      </c>
      <c r="AK5" s="15">
        <v>30887.606985</v>
      </c>
      <c r="AL5" s="14">
        <v>1.01609700591035</v>
      </c>
      <c r="AM5" s="31">
        <v>1.03908431047129</v>
      </c>
      <c r="AN5" s="18">
        <v>28144.950855</v>
      </c>
      <c r="AO5" s="31">
        <v>1.03255538340284</v>
      </c>
      <c r="AP5" s="18">
        <v>24604.937971</v>
      </c>
      <c r="AQ5" s="31">
        <v>1.02585619073667</v>
      </c>
      <c r="AR5" s="18">
        <v>21091.159966</v>
      </c>
      <c r="AS5" s="31">
        <v>1.00232455059185</v>
      </c>
      <c r="AT5" s="18">
        <v>17224.689584</v>
      </c>
      <c r="AU5" s="31">
        <v>1.00111985047636</v>
      </c>
      <c r="AV5" s="18">
        <v>13733.688558</v>
      </c>
      <c r="AW5" s="31">
        <v>1.01360725007492</v>
      </c>
      <c r="AX5" s="18">
        <v>10548.172535</v>
      </c>
      <c r="AY5" s="31">
        <v>0.984202755838945</v>
      </c>
      <c r="AZ5" s="18">
        <v>6639.534458</v>
      </c>
      <c r="BA5" s="31">
        <v>0.982687546438503</v>
      </c>
      <c r="BB5" s="18">
        <v>3417.53359</v>
      </c>
    </row>
    <row r="6" ht="15" spans="1:54">
      <c r="A6" s="7" t="s">
        <v>10</v>
      </c>
      <c r="B6" s="7" t="s">
        <v>11</v>
      </c>
      <c r="C6" s="8">
        <f>VLOOKUP(B6,'[2]2026年2月'!$B$2:$BJ$26,60,0)</f>
        <v>0.92939689308782</v>
      </c>
      <c r="D6" s="7">
        <f>VLOOKUP(B6,'[2]2026年2月'!$B$2:$BJ$27,58,0)</f>
        <v>24775.508351</v>
      </c>
      <c r="E6" s="8">
        <f>VLOOKUP(B6,'[3]2026年1月'!$B$2:$BJ$26,60,0)</f>
        <v>0.814649814627794</v>
      </c>
      <c r="F6" s="7">
        <f>VLOOKUP(B6,'[3]2026年1月'!$B$2:$BJ$26,58,0)</f>
        <v>11256.140511</v>
      </c>
      <c r="G6" s="8">
        <f>VLOOKUP(B6,[1]Sheet1!$B$2:$BJ$26,60,0)</f>
        <v>1.04641882368444</v>
      </c>
      <c r="H6" s="9">
        <f>VLOOKUP(B6,[1]Sheet1!$B$2:$BJ$26,58,0)</f>
        <v>170099.093004828</v>
      </c>
      <c r="I6" s="8">
        <v>1.0060571023036</v>
      </c>
      <c r="J6" s="13">
        <v>149815.683305</v>
      </c>
      <c r="K6" s="14">
        <v>1.00141494247881</v>
      </c>
      <c r="L6" s="15">
        <v>134628.280803</v>
      </c>
      <c r="M6" s="8">
        <v>0.993537817695562</v>
      </c>
      <c r="N6" s="16">
        <v>120781.127114</v>
      </c>
      <c r="O6" s="17">
        <v>1.03847113090166</v>
      </c>
      <c r="P6" s="18">
        <v>112599.645347</v>
      </c>
      <c r="Q6" s="17">
        <v>1.03088826019335</v>
      </c>
      <c r="R6" s="18">
        <v>98660.513478</v>
      </c>
      <c r="S6" s="31">
        <v>1.01645496740304</v>
      </c>
      <c r="T6" s="18">
        <v>84147.621765</v>
      </c>
      <c r="U6" s="31">
        <v>1.02955076459441</v>
      </c>
      <c r="V6" s="18">
        <v>69726.115894</v>
      </c>
      <c r="W6" s="31">
        <v>1.01603271341316</v>
      </c>
      <c r="X6" s="18">
        <v>55752.195575</v>
      </c>
      <c r="Y6" s="31">
        <v>1.01284328352032</v>
      </c>
      <c r="Z6" s="18">
        <v>42423.268029</v>
      </c>
      <c r="AA6" s="31">
        <v>1.00512646407708</v>
      </c>
      <c r="AB6" s="18">
        <v>27687.181333</v>
      </c>
      <c r="AC6" s="39">
        <v>1.05754599069646</v>
      </c>
      <c r="AD6" s="40">
        <v>15143.697089</v>
      </c>
      <c r="AE6" s="38">
        <f>VLOOKUP(B6,[1]Sheet1!$B$2:$BL$26,59,0)</f>
        <v>0.989901414652171</v>
      </c>
      <c r="AF6" s="37">
        <f>VLOOKUP(B6,[1]Sheet1!$B$2:$BL$26,57,0)</f>
        <v>161860.908678</v>
      </c>
      <c r="AG6" s="44">
        <v>1.01160476148816</v>
      </c>
      <c r="AH6" s="40">
        <v>152762.984446</v>
      </c>
      <c r="AI6" s="45">
        <v>1.01432130467095</v>
      </c>
      <c r="AJ6" s="40">
        <v>138899.061974</v>
      </c>
      <c r="AK6" s="15">
        <v>124885.33076</v>
      </c>
      <c r="AL6" s="14">
        <v>1.00397489821361</v>
      </c>
      <c r="AM6" s="31">
        <v>0.981558261395241</v>
      </c>
      <c r="AN6" s="18">
        <v>108386.189926</v>
      </c>
      <c r="AO6" s="31">
        <v>0.975866822629436</v>
      </c>
      <c r="AP6" s="18">
        <v>94517.275678</v>
      </c>
      <c r="AQ6" s="31">
        <v>0.960162165555349</v>
      </c>
      <c r="AR6" s="18">
        <v>80220.26677</v>
      </c>
      <c r="AS6" s="31">
        <v>0.951771110400864</v>
      </c>
      <c r="AT6" s="18">
        <v>66219.522194</v>
      </c>
      <c r="AU6" s="31">
        <v>0.929491497088318</v>
      </c>
      <c r="AV6" s="18">
        <v>51646.144675</v>
      </c>
      <c r="AW6" s="31">
        <v>0.961311960849579</v>
      </c>
      <c r="AX6" s="18">
        <v>40634.495127</v>
      </c>
      <c r="AY6" s="31">
        <v>0.930085334417377</v>
      </c>
      <c r="AZ6" s="18">
        <v>25889.047054</v>
      </c>
      <c r="BA6" s="31">
        <v>0.795708940119852</v>
      </c>
      <c r="BB6" s="18">
        <v>11756.271385</v>
      </c>
    </row>
    <row r="7" ht="15" spans="1:54">
      <c r="A7" s="7" t="s">
        <v>12</v>
      </c>
      <c r="B7" s="7" t="s">
        <v>13</v>
      </c>
      <c r="C7" s="8">
        <f>VLOOKUP(B7,'[2]2026年2月'!$B$2:$BJ$26,60,0)</f>
        <v>0.814109109468514</v>
      </c>
      <c r="D7" s="7">
        <f>VLOOKUP(B7,'[2]2026年2月'!$B$2:$BJ$27,58,0)</f>
        <v>14271.846667</v>
      </c>
      <c r="E7" s="8">
        <f>VLOOKUP(B7,'[3]2026年1月'!$B$2:$BJ$26,60,0)</f>
        <v>0.741694942623532</v>
      </c>
      <c r="F7" s="7">
        <f>VLOOKUP(B7,'[3]2026年1月'!$B$2:$BJ$26,58,0)</f>
        <v>6405.629972</v>
      </c>
      <c r="G7" s="8">
        <f>VLOOKUP(B7,[1]Sheet1!$B$2:$BJ$26,60,0)</f>
        <v>1.0491866652368</v>
      </c>
      <c r="H7" s="9">
        <f>VLOOKUP(B7,[1]Sheet1!$B$2:$BJ$26,58,0)</f>
        <v>113788.676838746</v>
      </c>
      <c r="I7" s="8">
        <v>0.962741678846701</v>
      </c>
      <c r="J7" s="13">
        <v>99764.24041</v>
      </c>
      <c r="K7" s="19">
        <v>0.94415675916806</v>
      </c>
      <c r="L7" s="15">
        <v>86649.435153</v>
      </c>
      <c r="M7" s="8">
        <v>0.939031738677584</v>
      </c>
      <c r="N7" s="16">
        <v>77888.841244</v>
      </c>
      <c r="O7" s="17">
        <v>0.997487570046147</v>
      </c>
      <c r="P7" s="18">
        <v>74270.242841</v>
      </c>
      <c r="Q7" s="17">
        <v>0.985190843092969</v>
      </c>
      <c r="R7" s="18">
        <v>64868.633956</v>
      </c>
      <c r="S7" s="31">
        <v>0.975004380327421</v>
      </c>
      <c r="T7" s="18">
        <v>55614.216225</v>
      </c>
      <c r="U7" s="31">
        <v>0.984911620539118</v>
      </c>
      <c r="V7" s="18">
        <v>45671.794996</v>
      </c>
      <c r="W7" s="31">
        <v>0.986548490888383</v>
      </c>
      <c r="X7" s="18">
        <v>36846.163954</v>
      </c>
      <c r="Y7" s="31">
        <v>0.962267328562502</v>
      </c>
      <c r="Z7" s="18">
        <v>27730.595584</v>
      </c>
      <c r="AA7" s="31">
        <v>0.978366905633303</v>
      </c>
      <c r="AB7" s="18">
        <v>18156.447954</v>
      </c>
      <c r="AC7" s="39">
        <v>1.05235283318158</v>
      </c>
      <c r="AD7" s="40">
        <v>9687.153879</v>
      </c>
      <c r="AE7" s="38">
        <f>VLOOKUP(B7,[1]Sheet1!$B$2:$BL$26,59,0)</f>
        <v>0.997399058305073</v>
      </c>
      <c r="AF7" s="37">
        <f>VLOOKUP(B7,[1]Sheet1!$B$2:$BL$26,57,0)</f>
        <v>112332.568461</v>
      </c>
      <c r="AG7" s="44">
        <v>0.996555881026635</v>
      </c>
      <c r="AH7" s="40">
        <v>103733.563293</v>
      </c>
      <c r="AI7" s="45">
        <v>0.981047619742589</v>
      </c>
      <c r="AJ7" s="40">
        <v>92869.617595</v>
      </c>
      <c r="AK7" s="15">
        <v>83369.900089</v>
      </c>
      <c r="AL7" s="14">
        <v>0.972267650963369</v>
      </c>
      <c r="AM7" s="31">
        <v>0.977073319379889</v>
      </c>
      <c r="AN7" s="18">
        <v>74754.980899</v>
      </c>
      <c r="AO7" s="31">
        <v>0.975356979898588</v>
      </c>
      <c r="AP7" s="18">
        <v>65452.147297</v>
      </c>
      <c r="AQ7" s="31">
        <v>0.950358196382839</v>
      </c>
      <c r="AR7" s="18">
        <v>55265.841115</v>
      </c>
      <c r="AS7" s="31">
        <v>0.934123246409139</v>
      </c>
      <c r="AT7" s="18">
        <v>45583.600895</v>
      </c>
      <c r="AU7" s="31">
        <v>0.961411564864139</v>
      </c>
      <c r="AV7" s="18">
        <v>37025.745008</v>
      </c>
      <c r="AW7" s="31">
        <v>0.95245321695033</v>
      </c>
      <c r="AX7" s="18">
        <v>27733.267692</v>
      </c>
      <c r="AY7" s="31">
        <v>0.906457292306437</v>
      </c>
      <c r="AZ7" s="18">
        <v>17260.485477</v>
      </c>
      <c r="BA7" s="31">
        <v>0.839771700180278</v>
      </c>
      <c r="BB7" s="18">
        <v>7563.77531</v>
      </c>
    </row>
    <row r="8" ht="15" spans="1:54">
      <c r="A8" s="7" t="s">
        <v>14</v>
      </c>
      <c r="B8" s="7" t="s">
        <v>15</v>
      </c>
      <c r="C8" s="8">
        <f>VLOOKUP(B8,'[2]2026年2月'!$B$2:$BJ$26,60,0)</f>
        <v>0.961948280448952</v>
      </c>
      <c r="D8" s="7">
        <f>VLOOKUP(B8,'[2]2026年2月'!$B$2:$BJ$27,58,0)</f>
        <v>29229.938591</v>
      </c>
      <c r="E8" s="8">
        <f>VLOOKUP(B8,'[3]2026年1月'!$B$2:$BJ$26,60,0)</f>
        <v>0.892365925979316</v>
      </c>
      <c r="F8" s="7">
        <f>VLOOKUP(B8,'[3]2026年1月'!$B$2:$BJ$26,58,0)</f>
        <v>13258.246012</v>
      </c>
      <c r="G8" s="8">
        <f>VLOOKUP(B8,[1]Sheet1!$B$2:$BJ$26,60,0)</f>
        <v>1.03845968359145</v>
      </c>
      <c r="H8" s="9">
        <f>VLOOKUP(B8,[1]Sheet1!$B$2:$BJ$26,58,0)</f>
        <v>188666.64345666</v>
      </c>
      <c r="I8" s="8">
        <v>0.993741116459486</v>
      </c>
      <c r="J8" s="13">
        <v>168474.855509</v>
      </c>
      <c r="K8" s="14">
        <v>0.988012039621251</v>
      </c>
      <c r="L8" s="15">
        <v>150743.11624</v>
      </c>
      <c r="M8" s="8">
        <v>0.983712162965589</v>
      </c>
      <c r="N8" s="16">
        <v>135232.402865</v>
      </c>
      <c r="O8" s="17">
        <v>1.01735130608707</v>
      </c>
      <c r="P8" s="18">
        <v>124502.650339</v>
      </c>
      <c r="Q8" s="17">
        <v>1.01162010765163</v>
      </c>
      <c r="R8" s="18">
        <v>109216.871739</v>
      </c>
      <c r="S8" s="31">
        <v>1.00128929269789</v>
      </c>
      <c r="T8" s="18">
        <v>93532.151559</v>
      </c>
      <c r="U8" s="31">
        <v>1.00872685947502</v>
      </c>
      <c r="V8" s="18">
        <v>76873.519339</v>
      </c>
      <c r="W8" s="31">
        <v>0.996301477393163</v>
      </c>
      <c r="X8" s="18">
        <v>61736.180577</v>
      </c>
      <c r="Y8" s="31">
        <v>0.978444311174965</v>
      </c>
      <c r="Z8" s="18">
        <v>46782.032766</v>
      </c>
      <c r="AA8" s="31">
        <v>0.970762143880886</v>
      </c>
      <c r="AB8" s="18">
        <v>29838.399768</v>
      </c>
      <c r="AC8" s="39">
        <v>0.944506909974902</v>
      </c>
      <c r="AD8" s="40">
        <v>15199.83036</v>
      </c>
      <c r="AE8" s="38">
        <f>VLOOKUP(B8,[1]Sheet1!$B$2:$BL$26,59,0)</f>
        <v>0.988775142877017</v>
      </c>
      <c r="AF8" s="37">
        <f>VLOOKUP(B8,[1]Sheet1!$B$2:$BL$26,57,0)</f>
        <v>184023.786981</v>
      </c>
      <c r="AG8" s="44">
        <v>1.01304306667152</v>
      </c>
      <c r="AH8" s="40">
        <v>173861.760569</v>
      </c>
      <c r="AI8" s="45">
        <v>1.01720570874775</v>
      </c>
      <c r="AJ8" s="40">
        <v>158686.090505</v>
      </c>
      <c r="AK8" s="15">
        <v>141413.881362</v>
      </c>
      <c r="AL8" s="14">
        <v>1.01241457760648</v>
      </c>
      <c r="AM8" s="31">
        <v>1.02386770082759</v>
      </c>
      <c r="AN8" s="18">
        <v>127430.130269</v>
      </c>
      <c r="AO8" s="31">
        <v>1.02024084722923</v>
      </c>
      <c r="AP8" s="18">
        <v>111766.567246</v>
      </c>
      <c r="AQ8" s="31">
        <v>0.999218420878533</v>
      </c>
      <c r="AR8" s="18">
        <v>93880.934717</v>
      </c>
      <c r="AS8" s="31">
        <v>0.997145818886913</v>
      </c>
      <c r="AT8" s="18">
        <v>78328.803904</v>
      </c>
      <c r="AU8" s="31">
        <v>0.999099717704299</v>
      </c>
      <c r="AV8" s="18">
        <v>62710.697449</v>
      </c>
      <c r="AW8" s="31">
        <v>0.990076733826741</v>
      </c>
      <c r="AX8" s="18">
        <v>47470.092673</v>
      </c>
      <c r="AY8" s="31">
        <v>0.952616703553656</v>
      </c>
      <c r="AZ8" s="18">
        <v>30350.149664</v>
      </c>
      <c r="BA8" s="31">
        <v>0.947115666029703</v>
      </c>
      <c r="BB8" s="18">
        <v>15310.950111</v>
      </c>
    </row>
    <row r="9" ht="15" spans="1:54">
      <c r="A9" s="7" t="s">
        <v>16</v>
      </c>
      <c r="B9" s="7" t="s">
        <v>17</v>
      </c>
      <c r="C9" s="8">
        <f>VLOOKUP(B9,'[2]2026年2月'!$B$2:$BJ$26,60,0)</f>
        <v>0.90071970712138</v>
      </c>
      <c r="D9" s="7">
        <f>VLOOKUP(B9,'[2]2026年2月'!$B$2:$BJ$27,58,0)</f>
        <v>10004.908031</v>
      </c>
      <c r="E9" s="8">
        <f>VLOOKUP(B9,'[3]2026年1月'!$B$2:$BJ$26,60,0)</f>
        <v>0.823682495352971</v>
      </c>
      <c r="F9" s="7">
        <f>VLOOKUP(B9,'[3]2026年1月'!$B$2:$BJ$26,58,0)</f>
        <v>4384.827492</v>
      </c>
      <c r="G9" s="8">
        <f>VLOOKUP(B9,[1]Sheet1!$B$2:$BJ$26,60,0)</f>
        <v>1.00101240384155</v>
      </c>
      <c r="H9" s="9">
        <f>VLOOKUP(B9,[1]Sheet1!$B$2:$BJ$26,58,0)</f>
        <v>74077.5466940923</v>
      </c>
      <c r="I9" s="8">
        <v>0.962067902902895</v>
      </c>
      <c r="J9" s="13">
        <v>64341.359984</v>
      </c>
      <c r="K9" s="14">
        <v>0.959233288366035</v>
      </c>
      <c r="L9" s="15">
        <v>58020.57676</v>
      </c>
      <c r="M9" s="8">
        <v>0.946163107838054</v>
      </c>
      <c r="N9" s="16">
        <v>51971.615169</v>
      </c>
      <c r="O9" s="17">
        <v>0.968476388423728</v>
      </c>
      <c r="P9" s="18">
        <v>47229.555998</v>
      </c>
      <c r="Q9" s="17">
        <v>0.979304851012175</v>
      </c>
      <c r="R9" s="18">
        <v>42340.389254</v>
      </c>
      <c r="S9" s="31">
        <v>0.96030464358452</v>
      </c>
      <c r="T9" s="18">
        <v>35976.289769</v>
      </c>
      <c r="U9" s="31">
        <v>0.959204162080624</v>
      </c>
      <c r="V9" s="18">
        <v>29217.150669</v>
      </c>
      <c r="W9" s="31">
        <v>0.95310161104918</v>
      </c>
      <c r="X9" s="18">
        <v>23058.863683</v>
      </c>
      <c r="Y9" s="31">
        <v>0.929172515323831</v>
      </c>
      <c r="Z9" s="18">
        <v>17214.103263</v>
      </c>
      <c r="AA9" s="31">
        <v>0.965690784528765</v>
      </c>
      <c r="AB9" s="18">
        <v>11315.292811</v>
      </c>
      <c r="AC9" s="39">
        <v>0.949867869770045</v>
      </c>
      <c r="AD9" s="40">
        <v>5424.539454</v>
      </c>
      <c r="AE9" s="38">
        <f>VLOOKUP(B9,[1]Sheet1!$B$2:$BL$26,59,0)</f>
        <v>0.966015477780429</v>
      </c>
      <c r="AF9" s="37">
        <f>VLOOKUP(B9,[1]Sheet1!$B$2:$BL$26,57,0)</f>
        <v>71317.968399</v>
      </c>
      <c r="AG9" s="44">
        <v>0.985851909670131</v>
      </c>
      <c r="AH9" s="40">
        <v>66707.844146</v>
      </c>
      <c r="AI9" s="45">
        <v>0.984998609362672</v>
      </c>
      <c r="AJ9" s="40">
        <v>60625.387656</v>
      </c>
      <c r="AK9" s="15">
        <v>54355.636572</v>
      </c>
      <c r="AL9" s="14">
        <v>0.977258114070913</v>
      </c>
      <c r="AM9" s="31">
        <v>1.00737869810968</v>
      </c>
      <c r="AN9" s="18">
        <v>49430.690638</v>
      </c>
      <c r="AO9" s="31">
        <v>0.993792299707389</v>
      </c>
      <c r="AP9" s="18">
        <v>43021.48579</v>
      </c>
      <c r="AQ9" s="31">
        <v>0.951362134205154</v>
      </c>
      <c r="AR9" s="18">
        <v>36136.502115</v>
      </c>
      <c r="AS9" s="31">
        <v>0.951751078074683</v>
      </c>
      <c r="AT9" s="18">
        <v>29957.449619</v>
      </c>
      <c r="AU9" s="31">
        <v>0.941920453679952</v>
      </c>
      <c r="AV9" s="18">
        <v>23857.992211</v>
      </c>
      <c r="AW9" s="31">
        <v>0.912159850971235</v>
      </c>
      <c r="AX9" s="18">
        <v>17705.486838</v>
      </c>
      <c r="AY9" s="31">
        <v>0.871156249520032</v>
      </c>
      <c r="AZ9" s="18">
        <v>11006.568121</v>
      </c>
      <c r="BA9" s="31">
        <v>0.74497661188409</v>
      </c>
      <c r="BB9" s="18">
        <v>4895.684878</v>
      </c>
    </row>
    <row r="10" ht="15" spans="1:54">
      <c r="A10" s="7" t="s">
        <v>18</v>
      </c>
      <c r="B10" s="7" t="s">
        <v>19</v>
      </c>
      <c r="C10" s="8">
        <f>VLOOKUP(B10,'[2]2026年2月'!$B$2:$BJ$26,60,0)</f>
        <v>1.03155789232144</v>
      </c>
      <c r="D10" s="7">
        <f>VLOOKUP(B10,'[2]2026年2月'!$B$2:$BJ$27,58,0)</f>
        <v>12274.573693</v>
      </c>
      <c r="E10" s="8">
        <f>VLOOKUP(B10,'[3]2026年1月'!$B$2:$BJ$26,60,0)</f>
        <v>0.909865049056232</v>
      </c>
      <c r="F10" s="7">
        <f>VLOOKUP(B10,'[3]2026年1月'!$B$2:$BJ$26,58,0)</f>
        <v>5283.599956</v>
      </c>
      <c r="G10" s="8">
        <f>VLOOKUP(B10,[1]Sheet1!$B$2:$BJ$26,60,0)</f>
        <v>1.06353304723367</v>
      </c>
      <c r="H10" s="9">
        <f>VLOOKUP(B10,[1]Sheet1!$B$2:$BJ$26,58,0)</f>
        <v>79515.5183072697</v>
      </c>
      <c r="I10" s="8">
        <v>1.04016667726252</v>
      </c>
      <c r="J10" s="13">
        <v>71453.917217</v>
      </c>
      <c r="K10" s="14">
        <v>1.02824563689246</v>
      </c>
      <c r="L10" s="15">
        <v>63393.551165</v>
      </c>
      <c r="M10" s="8">
        <v>1.02397152544545</v>
      </c>
      <c r="N10" s="16">
        <v>57139.180176</v>
      </c>
      <c r="O10" s="17">
        <v>1.0451970601029</v>
      </c>
      <c r="P10" s="18">
        <v>51689.324908</v>
      </c>
      <c r="Q10" s="17">
        <v>1.03952263202443</v>
      </c>
      <c r="R10" s="18">
        <v>46235.553456</v>
      </c>
      <c r="S10" s="31">
        <v>1.02243646861807</v>
      </c>
      <c r="T10" s="18">
        <v>39429.482784</v>
      </c>
      <c r="U10" s="31">
        <v>1.04448196177892</v>
      </c>
      <c r="V10" s="18">
        <v>32755.565312</v>
      </c>
      <c r="W10" s="31">
        <v>1.05030693891027</v>
      </c>
      <c r="X10" s="18">
        <v>26581.654802</v>
      </c>
      <c r="Y10" s="31">
        <v>1.00665474534056</v>
      </c>
      <c r="Z10" s="18">
        <v>19628.911937</v>
      </c>
      <c r="AA10" s="31">
        <v>0.973951735173544</v>
      </c>
      <c r="AB10" s="18">
        <v>12766.912782</v>
      </c>
      <c r="AC10" s="39">
        <v>1.06974991347085</v>
      </c>
      <c r="AD10" s="40">
        <v>6572.115823</v>
      </c>
      <c r="AE10" s="38">
        <f>VLOOKUP(B10,[1]Sheet1!$B$2:$BL$26,59,0)</f>
        <v>0.970851703616927</v>
      </c>
      <c r="AF10" s="37">
        <f>VLOOKUP(B10,[1]Sheet1!$B$2:$BL$26,57,0)</f>
        <v>71374.293774</v>
      </c>
      <c r="AG10" s="44">
        <v>1.04065219822658</v>
      </c>
      <c r="AH10" s="40">
        <v>69401.728603</v>
      </c>
      <c r="AI10" s="45">
        <v>1.03139635173708</v>
      </c>
      <c r="AJ10" s="40">
        <v>62523.829869</v>
      </c>
      <c r="AK10" s="15">
        <v>55958.624067</v>
      </c>
      <c r="AL10" s="14">
        <v>1.02831510706691</v>
      </c>
      <c r="AM10" s="31">
        <v>1.05392601122945</v>
      </c>
      <c r="AN10" s="18">
        <v>51018.434783</v>
      </c>
      <c r="AO10" s="31">
        <v>1.05434108430326</v>
      </c>
      <c r="AP10" s="18">
        <v>44758.693012</v>
      </c>
      <c r="AQ10" s="31">
        <v>1.04006103827571</v>
      </c>
      <c r="AR10" s="18">
        <v>38050.381636</v>
      </c>
      <c r="AS10" s="31">
        <v>1.04331240972384</v>
      </c>
      <c r="AT10" s="18">
        <v>31630.063144</v>
      </c>
      <c r="AU10" s="31">
        <v>1.0551300954956</v>
      </c>
      <c r="AV10" s="18">
        <v>25171.946643</v>
      </c>
      <c r="AW10" s="31">
        <v>1.03710349842449</v>
      </c>
      <c r="AX10" s="18">
        <v>18586.399838</v>
      </c>
      <c r="AY10" s="31">
        <v>1.03595987261288</v>
      </c>
      <c r="AZ10" s="18">
        <v>11764.37704</v>
      </c>
      <c r="BA10" s="31">
        <v>0.935461031498833</v>
      </c>
      <c r="BB10" s="18">
        <v>4804.424958</v>
      </c>
    </row>
    <row r="11" ht="15" spans="1:54">
      <c r="A11" s="7" t="s">
        <v>20</v>
      </c>
      <c r="B11" s="7" t="s">
        <v>21</v>
      </c>
      <c r="C11" s="8">
        <f>VLOOKUP(B11,'[2]2026年2月'!$B$2:$BJ$26,60,0)</f>
        <v>1.03817626092748</v>
      </c>
      <c r="D11" s="7">
        <f>VLOOKUP(B11,'[2]2026年2月'!$B$2:$BJ$27,58,0)</f>
        <v>14815.525658</v>
      </c>
      <c r="E11" s="8">
        <f>VLOOKUP(B11,'[3]2026年1月'!$B$2:$BJ$26,60,0)</f>
        <v>0.939512741721754</v>
      </c>
      <c r="F11" s="7">
        <f>VLOOKUP(B11,'[3]2026年1月'!$B$2:$BJ$26,58,0)</f>
        <v>6738.054362</v>
      </c>
      <c r="G11" s="8">
        <f>VLOOKUP(B11,[1]Sheet1!$B$2:$BJ$26,60,0)</f>
        <v>1.06483285251052</v>
      </c>
      <c r="H11" s="9">
        <f>VLOOKUP(B11,[1]Sheet1!$B$2:$BJ$26,58,0)</f>
        <v>93158.8287209926</v>
      </c>
      <c r="I11" s="8">
        <v>1.03665214918445</v>
      </c>
      <c r="J11" s="13">
        <v>84105.087089</v>
      </c>
      <c r="K11" s="14">
        <v>1.03470038867706</v>
      </c>
      <c r="L11" s="15">
        <v>75399.448685</v>
      </c>
      <c r="M11" s="8">
        <v>1.02820564885007</v>
      </c>
      <c r="N11" s="16">
        <v>67650.631979</v>
      </c>
      <c r="O11" s="17">
        <v>1.06557984371844</v>
      </c>
      <c r="P11" s="18">
        <v>62783.264502</v>
      </c>
      <c r="Q11" s="17">
        <v>1.059471656143</v>
      </c>
      <c r="R11" s="18">
        <v>55205.864207</v>
      </c>
      <c r="S11" s="31">
        <v>1.05309326185587</v>
      </c>
      <c r="T11" s="18">
        <v>47368.934433</v>
      </c>
      <c r="U11" s="31">
        <v>1.08145797321431</v>
      </c>
      <c r="V11" s="18">
        <v>39704.675184</v>
      </c>
      <c r="W11" s="31">
        <v>1.07736664118959</v>
      </c>
      <c r="X11" s="18">
        <v>32038.739443</v>
      </c>
      <c r="Y11" s="31">
        <v>1.03174850417269</v>
      </c>
      <c r="Z11" s="18">
        <v>23579.024952</v>
      </c>
      <c r="AA11" s="31">
        <v>1.03904777248739</v>
      </c>
      <c r="AB11" s="18">
        <v>15084.56342</v>
      </c>
      <c r="AC11" s="39">
        <v>1.20190841068816</v>
      </c>
      <c r="AD11" s="40">
        <v>8813.032487</v>
      </c>
      <c r="AE11" s="38">
        <f>VLOOKUP(B11,[1]Sheet1!$B$2:$BL$26,59,0)</f>
        <v>0.985457108128799</v>
      </c>
      <c r="AF11" s="37">
        <f>VLOOKUP(B11,[1]Sheet1!$B$2:$BL$26,57,0)</f>
        <v>85392.157138</v>
      </c>
      <c r="AG11" s="44">
        <v>1.01995833201213</v>
      </c>
      <c r="AH11" s="40">
        <v>81625.857593</v>
      </c>
      <c r="AI11" s="45">
        <v>1.0220880895955</v>
      </c>
      <c r="AJ11" s="40">
        <v>74282.771058</v>
      </c>
      <c r="AK11" s="15">
        <v>66799.015962</v>
      </c>
      <c r="AL11" s="14">
        <v>1.01500391594887</v>
      </c>
      <c r="AM11" s="31">
        <v>1.03873637169157</v>
      </c>
      <c r="AN11" s="18">
        <v>60665.034894</v>
      </c>
      <c r="AO11" s="31">
        <v>1.03681801111973</v>
      </c>
      <c r="AP11" s="18">
        <v>52950.891034</v>
      </c>
      <c r="AQ11" s="31">
        <v>1.02332395214311</v>
      </c>
      <c r="AR11" s="18">
        <v>45309.857921</v>
      </c>
      <c r="AS11" s="31">
        <v>1.02157890103485</v>
      </c>
      <c r="AT11" s="18">
        <v>37595.101609</v>
      </c>
      <c r="AU11" s="31">
        <v>1.03083272975883</v>
      </c>
      <c r="AV11" s="18">
        <v>30546.280833</v>
      </c>
      <c r="AW11" s="31">
        <v>1.03405091584417</v>
      </c>
      <c r="AX11" s="18">
        <v>23469.874654</v>
      </c>
      <c r="AY11" s="31">
        <v>1.02080630706801</v>
      </c>
      <c r="AZ11" s="18">
        <v>15306.628814</v>
      </c>
      <c r="BA11" s="31">
        <v>0.927546007287073</v>
      </c>
      <c r="BB11" s="18">
        <v>7243.166303</v>
      </c>
    </row>
    <row r="12" ht="15" spans="1:54">
      <c r="A12" s="7" t="s">
        <v>22</v>
      </c>
      <c r="B12" s="7" t="s">
        <v>23</v>
      </c>
      <c r="C12" s="8">
        <f>VLOOKUP(B12,'[2]2026年2月'!$B$2:$BJ$26,60,0)</f>
        <v>1.04282819659685</v>
      </c>
      <c r="D12" s="7">
        <f>VLOOKUP(B12,'[2]2026年2月'!$B$2:$BJ$27,58,0)</f>
        <v>19664.989001</v>
      </c>
      <c r="E12" s="8">
        <f>VLOOKUP(B12,'[3]2026年1月'!$B$2:$BJ$26,60,0)</f>
        <v>0.896075408366569</v>
      </c>
      <c r="F12" s="7">
        <f>VLOOKUP(B12,'[3]2026年1月'!$B$2:$BJ$26,58,0)</f>
        <v>8738.661817</v>
      </c>
      <c r="G12" s="8">
        <f>VLOOKUP(B12,[1]Sheet1!$B$2:$BJ$26,60,0)</f>
        <v>1.03648283453238</v>
      </c>
      <c r="H12" s="9">
        <f>VLOOKUP(B12,[1]Sheet1!$B$2:$BJ$26,58,0)</f>
        <v>124954.248354018</v>
      </c>
      <c r="I12" s="8">
        <v>1.00425330683467</v>
      </c>
      <c r="J12" s="13">
        <v>111795.171309</v>
      </c>
      <c r="K12" s="14">
        <v>0.987709968895643</v>
      </c>
      <c r="L12" s="15">
        <v>99539.599464</v>
      </c>
      <c r="M12" s="8">
        <v>0.982646739690097</v>
      </c>
      <c r="N12" s="16">
        <v>89788.047867</v>
      </c>
      <c r="O12" s="17">
        <v>0.99706501191674</v>
      </c>
      <c r="P12" s="18">
        <v>81825.984508</v>
      </c>
      <c r="Q12" s="17">
        <v>0.965147273053332</v>
      </c>
      <c r="R12" s="18">
        <v>70223.360266</v>
      </c>
      <c r="S12" s="31">
        <v>0.964668258012324</v>
      </c>
      <c r="T12" s="18">
        <v>59955.253316</v>
      </c>
      <c r="U12" s="31">
        <v>0.937025493058062</v>
      </c>
      <c r="V12" s="18">
        <v>48533.307994</v>
      </c>
      <c r="W12" s="31">
        <v>0.940939490712431</v>
      </c>
      <c r="X12" s="18">
        <v>38661.633522</v>
      </c>
      <c r="Y12" s="31">
        <v>0.938623506444961</v>
      </c>
      <c r="Z12" s="18">
        <v>29338.05471</v>
      </c>
      <c r="AA12" s="31">
        <v>0.901363347294107</v>
      </c>
      <c r="AB12" s="18">
        <v>18957.203587</v>
      </c>
      <c r="AC12" s="36">
        <v>0.839965097202228</v>
      </c>
      <c r="AD12" s="37">
        <v>9064.914073</v>
      </c>
      <c r="AE12" s="38">
        <f>VLOOKUP(B12,[1]Sheet1!$B$2:$BL$26,59,0)</f>
        <v>0.983974403774378</v>
      </c>
      <c r="AF12" s="37">
        <f>VLOOKUP(B12,[1]Sheet1!$B$2:$BL$26,57,0)</f>
        <v>116901.18756</v>
      </c>
      <c r="AG12" s="44">
        <v>1.0106821831438</v>
      </c>
      <c r="AH12" s="40">
        <v>110333.275079</v>
      </c>
      <c r="AI12" s="45">
        <v>0.996437185693487</v>
      </c>
      <c r="AJ12" s="40">
        <v>99242.841414</v>
      </c>
      <c r="AK12" s="15">
        <v>88744.316918</v>
      </c>
      <c r="AL12" s="14">
        <v>0.98717752671589</v>
      </c>
      <c r="AM12" s="31">
        <v>0.987204151540882</v>
      </c>
      <c r="AN12" s="18">
        <v>79108.874049</v>
      </c>
      <c r="AO12" s="31">
        <v>0.980750849728008</v>
      </c>
      <c r="AP12" s="18">
        <v>69379.223695</v>
      </c>
      <c r="AQ12" s="31">
        <v>0.991734959844147</v>
      </c>
      <c r="AR12" s="18">
        <v>58726.873417</v>
      </c>
      <c r="AS12" s="31">
        <v>0.983290520012174</v>
      </c>
      <c r="AT12" s="18">
        <v>49806.556757</v>
      </c>
      <c r="AU12" s="31">
        <v>0.979693501471076</v>
      </c>
      <c r="AV12" s="18">
        <v>39092.383757</v>
      </c>
      <c r="AW12" s="31">
        <v>0.961035308339225</v>
      </c>
      <c r="AX12" s="18">
        <v>29353.361278</v>
      </c>
      <c r="AY12" s="31">
        <v>0.970834932684549</v>
      </c>
      <c r="AZ12" s="18">
        <v>19668.872044</v>
      </c>
      <c r="BA12" s="31">
        <v>0.870426313904049</v>
      </c>
      <c r="BB12" s="18">
        <v>9442.826506</v>
      </c>
    </row>
    <row r="13" ht="15" spans="1:54">
      <c r="A13" s="7" t="s">
        <v>24</v>
      </c>
      <c r="B13" s="7" t="s">
        <v>25</v>
      </c>
      <c r="C13" s="8">
        <f>VLOOKUP(B13,'[2]2026年2月'!$B$2:$BJ$26,60,0)</f>
        <v>0.989974229498954</v>
      </c>
      <c r="D13" s="7">
        <f>VLOOKUP(B13,'[2]2026年2月'!$B$2:$BJ$27,58,0)</f>
        <v>30202.631809</v>
      </c>
      <c r="E13" s="8">
        <f>VLOOKUP(B13,'[3]2026年1月'!$B$2:$BJ$26,60,0)</f>
        <v>0.866224159614951</v>
      </c>
      <c r="F13" s="7">
        <f>VLOOKUP(B13,'[3]2026年1月'!$B$2:$BJ$26,58,0)</f>
        <v>12827.940994</v>
      </c>
      <c r="G13" s="8">
        <f>VLOOKUP(B13,[1]Sheet1!$B$2:$BJ$26,60,0)</f>
        <v>1.05667782976871</v>
      </c>
      <c r="H13" s="9">
        <f>VLOOKUP(B13,[1]Sheet1!$B$2:$BJ$26,58,0)</f>
        <v>189823.623607241</v>
      </c>
      <c r="I13" s="8">
        <v>1.02271783872027</v>
      </c>
      <c r="J13" s="13">
        <v>170982.226319</v>
      </c>
      <c r="K13" s="14">
        <v>1.01847882909045</v>
      </c>
      <c r="L13" s="15">
        <v>153612.475516</v>
      </c>
      <c r="M13" s="8">
        <v>1.00260161724203</v>
      </c>
      <c r="N13" s="16">
        <v>136590.399017</v>
      </c>
      <c r="O13" s="17">
        <v>1.0361075399734</v>
      </c>
      <c r="P13" s="18">
        <v>126320.580202</v>
      </c>
      <c r="Q13" s="17">
        <v>1.03339040794335</v>
      </c>
      <c r="R13" s="18">
        <v>111610.589481</v>
      </c>
      <c r="S13" s="31">
        <v>1.02403240279323</v>
      </c>
      <c r="T13" s="18">
        <v>95726.700233</v>
      </c>
      <c r="U13" s="31">
        <v>1.03671605397653</v>
      </c>
      <c r="V13" s="18">
        <v>79351.530541</v>
      </c>
      <c r="W13" s="31">
        <v>1.01961349656101</v>
      </c>
      <c r="X13" s="18">
        <v>63465.564677</v>
      </c>
      <c r="Y13" s="31">
        <v>1.02638524322235</v>
      </c>
      <c r="Z13" s="18">
        <v>47882.544516</v>
      </c>
      <c r="AA13" s="31">
        <v>1.03135977044327</v>
      </c>
      <c r="AB13" s="18">
        <v>32062.770055</v>
      </c>
      <c r="AC13" s="39">
        <v>1.07299134970952</v>
      </c>
      <c r="AD13" s="40">
        <v>16896.829531</v>
      </c>
      <c r="AE13" s="38">
        <f>VLOOKUP(B13,[1]Sheet1!$B$2:$BL$26,59,0)</f>
        <v>0.963148080675912</v>
      </c>
      <c r="AF13" s="37">
        <f>VLOOKUP(B13,[1]Sheet1!$B$2:$BL$26,57,0)</f>
        <v>175308.572968</v>
      </c>
      <c r="AG13" s="44">
        <v>1.01220692155813</v>
      </c>
      <c r="AH13" s="40">
        <v>168990.823805</v>
      </c>
      <c r="AI13" s="45">
        <v>1.01275960708534</v>
      </c>
      <c r="AJ13" s="40">
        <v>154683.0108</v>
      </c>
      <c r="AK13" s="15">
        <v>138746.641522</v>
      </c>
      <c r="AL13" s="14">
        <v>1.00408817007492</v>
      </c>
      <c r="AM13" s="31">
        <v>1.02830763975623</v>
      </c>
      <c r="AN13" s="18">
        <v>126277.849417</v>
      </c>
      <c r="AO13" s="31">
        <v>1.02008695962843</v>
      </c>
      <c r="AP13" s="18">
        <v>109791.977909</v>
      </c>
      <c r="AQ13" s="31">
        <v>1.00994013934441</v>
      </c>
      <c r="AR13" s="18">
        <v>94021.209672</v>
      </c>
      <c r="AS13" s="31">
        <v>0.981537390439353</v>
      </c>
      <c r="AT13" s="18">
        <v>76536.481296</v>
      </c>
      <c r="AU13" s="31">
        <v>0.979351437633022</v>
      </c>
      <c r="AV13" s="18">
        <v>61083.288715</v>
      </c>
      <c r="AW13" s="31">
        <v>0.977878835629541</v>
      </c>
      <c r="AX13" s="18">
        <v>45375.438109</v>
      </c>
      <c r="AY13" s="31">
        <v>0.936273316000523</v>
      </c>
      <c r="AZ13" s="18">
        <v>29259.049895</v>
      </c>
      <c r="BA13" s="31">
        <v>0.806757118477664</v>
      </c>
      <c r="BB13" s="18">
        <v>12600.10365</v>
      </c>
    </row>
    <row r="14" ht="15" spans="1:54">
      <c r="A14" s="7" t="s">
        <v>26</v>
      </c>
      <c r="B14" s="7" t="s">
        <v>27</v>
      </c>
      <c r="C14" s="8">
        <f>VLOOKUP(B14,'[2]2026年2月'!$B$2:$BJ$26,60,0)</f>
        <v>1.01089060470997</v>
      </c>
      <c r="D14" s="7">
        <f>VLOOKUP(B14,'[2]2026年2月'!$B$2:$BJ$27,58,0)</f>
        <v>18495.817399</v>
      </c>
      <c r="E14" s="8">
        <f>VLOOKUP(B14,'[3]2026年1月'!$B$2:$BJ$26,60,0)</f>
        <v>0.792244883021294</v>
      </c>
      <c r="F14" s="7">
        <f>VLOOKUP(B14,'[3]2026年1月'!$B$2:$BJ$26,58,0)</f>
        <v>7293.089816</v>
      </c>
      <c r="G14" s="8">
        <f>VLOOKUP(B14,[1]Sheet1!$B$2:$BJ$26,60,0)</f>
        <v>0.980154292151002</v>
      </c>
      <c r="H14" s="9">
        <f>VLOOKUP(B14,[1]Sheet1!$B$2:$BJ$26,58,0)</f>
        <v>118548.111701953</v>
      </c>
      <c r="I14" s="8">
        <v>0.94712400386622</v>
      </c>
      <c r="J14" s="13">
        <v>102221.31578</v>
      </c>
      <c r="K14" s="14">
        <v>0.9413634233571</v>
      </c>
      <c r="L14" s="15">
        <v>92811.94299</v>
      </c>
      <c r="M14" s="8">
        <v>0.929503593844407</v>
      </c>
      <c r="N14" s="16">
        <v>83420.653937</v>
      </c>
      <c r="O14" s="17">
        <v>0.973326302415725</v>
      </c>
      <c r="P14" s="18">
        <v>78583.743552</v>
      </c>
      <c r="Q14" s="17">
        <v>0.969595841654101</v>
      </c>
      <c r="R14" s="18">
        <v>69342.224382</v>
      </c>
      <c r="S14" s="31">
        <v>0.971175629068599</v>
      </c>
      <c r="T14" s="18">
        <v>59310.133446</v>
      </c>
      <c r="U14" s="31">
        <v>0.986899028702754</v>
      </c>
      <c r="V14" s="18">
        <v>50226.22935</v>
      </c>
      <c r="W14" s="31">
        <v>0.988081209045163</v>
      </c>
      <c r="X14" s="18">
        <v>40243.867143</v>
      </c>
      <c r="Y14" s="31">
        <v>0.944444255456365</v>
      </c>
      <c r="Z14" s="18">
        <v>29002.542029</v>
      </c>
      <c r="AA14" s="31">
        <v>0.916520350266043</v>
      </c>
      <c r="AB14" s="18">
        <v>18818.129958</v>
      </c>
      <c r="AC14" s="39">
        <v>0.967168500506141</v>
      </c>
      <c r="AD14" s="40">
        <v>10579.996333</v>
      </c>
      <c r="AE14" s="38">
        <f>VLOOKUP(B14,[1]Sheet1!$B$2:$BL$26,59,0)</f>
        <v>1.0259041807979</v>
      </c>
      <c r="AF14" s="37">
        <f>VLOOKUP(B14,[1]Sheet1!$B$2:$BL$26,57,0)</f>
        <v>122533.986305</v>
      </c>
      <c r="AG14" s="44">
        <v>1.02325485154649</v>
      </c>
      <c r="AH14" s="40">
        <v>111242.970872</v>
      </c>
      <c r="AI14" s="45">
        <v>1.02528178191004</v>
      </c>
      <c r="AJ14" s="40">
        <v>101133.521689</v>
      </c>
      <c r="AK14" s="15">
        <v>90921.97974</v>
      </c>
      <c r="AL14" s="14">
        <v>1.01792399056037</v>
      </c>
      <c r="AM14" s="31">
        <v>1.02318996438727</v>
      </c>
      <c r="AN14" s="18">
        <v>81575.116934</v>
      </c>
      <c r="AO14" s="31">
        <v>1.02339423236274</v>
      </c>
      <c r="AP14" s="18">
        <v>71393.757999</v>
      </c>
      <c r="AQ14" s="31">
        <v>1.01109224441305</v>
      </c>
      <c r="AR14" s="18">
        <v>60577.829105</v>
      </c>
      <c r="AS14" s="31">
        <v>1.02486165326948</v>
      </c>
      <c r="AT14" s="18">
        <v>51206.429746</v>
      </c>
      <c r="AU14" s="31">
        <v>1.0354323393662</v>
      </c>
      <c r="AV14" s="18">
        <v>41108.457661</v>
      </c>
      <c r="AW14" s="31">
        <v>1.05236409648777</v>
      </c>
      <c r="AX14" s="18">
        <v>31101.22154</v>
      </c>
      <c r="AY14" s="31">
        <v>0.967227228653813</v>
      </c>
      <c r="AZ14" s="18">
        <v>19047.924139</v>
      </c>
      <c r="BA14" s="31">
        <v>0.906807733850148</v>
      </c>
      <c r="BB14" s="18">
        <v>9408.837585</v>
      </c>
    </row>
    <row r="15" ht="15" spans="1:54">
      <c r="A15" s="7" t="s">
        <v>28</v>
      </c>
      <c r="B15" s="7" t="s">
        <v>29</v>
      </c>
      <c r="C15" s="8">
        <f>VLOOKUP(B15,'[2]2026年2月'!$B$2:$BJ$26,60,0)</f>
        <v>0.998576424596298</v>
      </c>
      <c r="D15" s="7">
        <f>VLOOKUP(B15,'[2]2026年2月'!$B$2:$BJ$27,58,0)</f>
        <v>24069.072693</v>
      </c>
      <c r="E15" s="8">
        <f>VLOOKUP(B15,'[3]2026年1月'!$B$2:$BJ$26,60,0)</f>
        <v>0.904146089858967</v>
      </c>
      <c r="F15" s="7">
        <f>VLOOKUP(B15,'[3]2026年1月'!$B$2:$BJ$26,58,0)</f>
        <v>10685.055096</v>
      </c>
      <c r="G15" s="8">
        <f>VLOOKUP(B15,[1]Sheet1!$B$2:$BJ$26,60,0)</f>
        <v>1.00006823637493</v>
      </c>
      <c r="H15" s="9">
        <f>VLOOKUP(B15,[1]Sheet1!$B$2:$BJ$26,58,0)</f>
        <v>140566.969942239</v>
      </c>
      <c r="I15" s="8">
        <v>0.966212744365581</v>
      </c>
      <c r="J15" s="13">
        <v>134689.447637</v>
      </c>
      <c r="K15" s="14">
        <v>0.969084583717254</v>
      </c>
      <c r="L15" s="15">
        <v>122992.32718</v>
      </c>
      <c r="M15" s="8">
        <v>0.963047076725875</v>
      </c>
      <c r="N15" s="16">
        <v>111009.829646</v>
      </c>
      <c r="O15" s="17">
        <v>0.97254579271316</v>
      </c>
      <c r="P15" s="18">
        <v>101049.196606</v>
      </c>
      <c r="Q15" s="17">
        <v>0.949096883792279</v>
      </c>
      <c r="R15" s="18">
        <v>86918.965199</v>
      </c>
      <c r="S15" s="31">
        <v>0.932275618672528</v>
      </c>
      <c r="T15" s="18">
        <v>73274.473603</v>
      </c>
      <c r="U15" s="31">
        <v>0.958303064514997</v>
      </c>
      <c r="V15" s="18">
        <v>61982.221593</v>
      </c>
      <c r="W15" s="31">
        <v>0.950222869053817</v>
      </c>
      <c r="X15" s="18">
        <v>49012.871226</v>
      </c>
      <c r="Y15" s="31">
        <v>0.912735331828148</v>
      </c>
      <c r="Z15" s="18">
        <v>35695.829033</v>
      </c>
      <c r="AA15" s="31">
        <v>0.93065884223344</v>
      </c>
      <c r="AB15" s="18">
        <v>22454.189003</v>
      </c>
      <c r="AC15" s="39">
        <v>0.964297917835977</v>
      </c>
      <c r="AD15" s="40">
        <v>12226.356481</v>
      </c>
      <c r="AE15" s="38">
        <f>VLOOKUP(B15,[1]Sheet1!$B$2:$BL$26,59,0)</f>
        <v>1.09893571155287</v>
      </c>
      <c r="AF15" s="37">
        <f>VLOOKUP(B15,[1]Sheet1!$B$2:$BL$26,57,0)</f>
        <v>152540.923117</v>
      </c>
      <c r="AG15" s="44">
        <v>1.04226705179572</v>
      </c>
      <c r="AH15" s="40">
        <v>146945.93546</v>
      </c>
      <c r="AI15" s="45">
        <v>1.03309234490427</v>
      </c>
      <c r="AJ15" s="40">
        <v>132582.564503</v>
      </c>
      <c r="AK15" s="15">
        <v>119805.956974</v>
      </c>
      <c r="AL15" s="14">
        <v>1.03121127560544</v>
      </c>
      <c r="AM15" s="31">
        <v>1.04971997485809</v>
      </c>
      <c r="AN15" s="18">
        <v>107091.254087</v>
      </c>
      <c r="AO15" s="31">
        <v>1.04522397100859</v>
      </c>
      <c r="AP15" s="18">
        <v>93810.174962</v>
      </c>
      <c r="AQ15" s="31">
        <v>1.03459618897448</v>
      </c>
      <c r="AR15" s="18">
        <v>80194.994894</v>
      </c>
      <c r="AS15" s="31">
        <v>1.02889138284323</v>
      </c>
      <c r="AT15" s="18">
        <v>66633.993337</v>
      </c>
      <c r="AU15" s="31">
        <v>1.0330873423104</v>
      </c>
      <c r="AV15" s="18">
        <v>53676.687353</v>
      </c>
      <c r="AW15" s="31">
        <v>1.01356740256368</v>
      </c>
      <c r="AX15" s="18">
        <v>39491.337064</v>
      </c>
      <c r="AY15" s="31">
        <v>1.013090681503</v>
      </c>
      <c r="AZ15" s="18">
        <v>26523.462502</v>
      </c>
      <c r="BA15" s="31">
        <v>0.958453308584544</v>
      </c>
      <c r="BB15" s="18">
        <v>12964.916568</v>
      </c>
    </row>
    <row r="16" ht="15" spans="1:54">
      <c r="A16" s="7" t="s">
        <v>30</v>
      </c>
      <c r="B16" s="7" t="s">
        <v>31</v>
      </c>
      <c r="C16" s="8">
        <f>VLOOKUP(B16,'[2]2026年2月'!$B$2:$BJ$26,60,0)</f>
        <v>0.910156333853062</v>
      </c>
      <c r="D16" s="7">
        <f>VLOOKUP(B16,'[2]2026年2月'!$B$2:$BJ$27,58,0)</f>
        <v>13156.030903</v>
      </c>
      <c r="E16" s="8">
        <f>VLOOKUP(B16,'[3]2026年1月'!$B$2:$BJ$26,60,0)</f>
        <v>0.78041789762998</v>
      </c>
      <c r="F16" s="7">
        <f>VLOOKUP(B16,'[3]2026年1月'!$B$2:$BJ$26,58,0)</f>
        <v>5322.496158</v>
      </c>
      <c r="G16" s="8">
        <f>VLOOKUP(B16,[1]Sheet1!$B$2:$BJ$26,60,0)</f>
        <v>1.01305474884219</v>
      </c>
      <c r="H16" s="9">
        <f>VLOOKUP(B16,[1]Sheet1!$B$2:$BJ$26,58,0)</f>
        <v>86499.6590190445</v>
      </c>
      <c r="I16" s="8">
        <v>0.955544995821617</v>
      </c>
      <c r="J16" s="13">
        <v>76542.940692</v>
      </c>
      <c r="K16" s="14">
        <v>0.946213891897359</v>
      </c>
      <c r="L16" s="15">
        <v>68842.009531</v>
      </c>
      <c r="M16" s="8">
        <v>0.938995766811075</v>
      </c>
      <c r="N16" s="16">
        <v>61787.611657</v>
      </c>
      <c r="O16" s="17">
        <v>1.00786899744365</v>
      </c>
      <c r="P16" s="18">
        <v>59361.479939</v>
      </c>
      <c r="Q16" s="17">
        <v>1.00871130247037</v>
      </c>
      <c r="R16" s="18">
        <v>52818.115056</v>
      </c>
      <c r="S16" s="31">
        <v>0.995044212973596</v>
      </c>
      <c r="T16" s="18">
        <v>44755.53474</v>
      </c>
      <c r="U16" s="31">
        <v>0.978460330934971</v>
      </c>
      <c r="V16" s="18">
        <v>36784.564347</v>
      </c>
      <c r="W16" s="31">
        <v>0.992822419169411</v>
      </c>
      <c r="X16" s="18">
        <v>29558.551614</v>
      </c>
      <c r="Y16" s="31">
        <v>0.976307571292712</v>
      </c>
      <c r="Z16" s="18">
        <v>21860.518068</v>
      </c>
      <c r="AA16" s="31">
        <v>0.964003045253424</v>
      </c>
      <c r="AB16" s="18">
        <v>14257.562574</v>
      </c>
      <c r="AC16" s="39">
        <v>0.945085298572644</v>
      </c>
      <c r="AD16" s="40">
        <v>7017.326406</v>
      </c>
      <c r="AE16" s="38">
        <f>VLOOKUP(B16,[1]Sheet1!$B$2:$BL$26,59,0)</f>
        <v>0.967585343187818</v>
      </c>
      <c r="AF16" s="37">
        <f>VLOOKUP(B16,[1]Sheet1!$B$2:$BL$26,57,0)</f>
        <v>82790.710734</v>
      </c>
      <c r="AG16" s="44">
        <v>0.993420307173537</v>
      </c>
      <c r="AH16" s="40">
        <v>77595.730496</v>
      </c>
      <c r="AI16" s="45">
        <v>0.986041589661264</v>
      </c>
      <c r="AJ16" s="40">
        <v>70103.657402</v>
      </c>
      <c r="AK16" s="15">
        <v>62990.165505</v>
      </c>
      <c r="AL16" s="14">
        <v>0.982098222451716</v>
      </c>
      <c r="AM16" s="31">
        <v>1.00250737105305</v>
      </c>
      <c r="AN16" s="18">
        <v>57533.216031</v>
      </c>
      <c r="AO16" s="31">
        <v>0.987837077548245</v>
      </c>
      <c r="AP16" s="18">
        <v>49691.689837</v>
      </c>
      <c r="AQ16" s="31">
        <v>0.970115673676237</v>
      </c>
      <c r="AR16" s="18">
        <v>41988.168728</v>
      </c>
      <c r="AS16" s="31">
        <v>0.969923242181395</v>
      </c>
      <c r="AT16" s="18">
        <v>35085.121104</v>
      </c>
      <c r="AU16" s="31">
        <v>0.973007363116139</v>
      </c>
      <c r="AV16" s="18">
        <v>28138.06473</v>
      </c>
      <c r="AW16" s="31">
        <v>0.958468878362477</v>
      </c>
      <c r="AX16" s="18">
        <v>21147.467425</v>
      </c>
      <c r="AY16" s="31">
        <v>0.939924623768747</v>
      </c>
      <c r="AZ16" s="18">
        <v>13850.117442</v>
      </c>
      <c r="BA16" s="31">
        <v>0.849979162413029</v>
      </c>
      <c r="BB16" s="18">
        <v>6448.260715</v>
      </c>
    </row>
    <row r="17" ht="15" spans="1:54">
      <c r="A17" s="7" t="s">
        <v>32</v>
      </c>
      <c r="B17" s="7" t="s">
        <v>33</v>
      </c>
      <c r="C17" s="8">
        <f>VLOOKUP(B17,'[2]2026年2月'!$B$2:$BJ$26,60,0)</f>
        <v>1.08669577950616</v>
      </c>
      <c r="D17" s="7">
        <f>VLOOKUP(B17,'[2]2026年2月'!$B$2:$BJ$27,58,0)</f>
        <v>21257.249567</v>
      </c>
      <c r="E17" s="8">
        <f>VLOOKUP(B17,'[3]2026年1月'!$B$2:$BJ$26,60,0)</f>
        <v>0.954927515354468</v>
      </c>
      <c r="F17" s="7">
        <f>VLOOKUP(B17,'[3]2026年1月'!$B$2:$BJ$26,58,0)</f>
        <v>8970.62972</v>
      </c>
      <c r="G17" s="8">
        <f>VLOOKUP(B17,[1]Sheet1!$B$2:$BJ$26,60,0)</f>
        <v>1.04488838547412</v>
      </c>
      <c r="H17" s="9">
        <f>VLOOKUP(B17,[1]Sheet1!$B$2:$BJ$26,58,0)</f>
        <v>125757.341779422</v>
      </c>
      <c r="I17" s="8">
        <v>1.02838502941771</v>
      </c>
      <c r="J17" s="13">
        <v>114451.249654</v>
      </c>
      <c r="K17" s="14">
        <v>1.0234660643333</v>
      </c>
      <c r="L17" s="15">
        <v>103211.720904</v>
      </c>
      <c r="M17" s="8">
        <v>1.02338108170471</v>
      </c>
      <c r="N17" s="16">
        <v>93339.491005</v>
      </c>
      <c r="O17" s="17">
        <v>1.05410331202497</v>
      </c>
      <c r="P17" s="18">
        <v>86208.297088</v>
      </c>
      <c r="Q17" s="17">
        <v>1.04374985478254</v>
      </c>
      <c r="R17" s="18">
        <v>75661.554414</v>
      </c>
      <c r="S17" s="31">
        <v>1.0410289695973</v>
      </c>
      <c r="T17" s="18">
        <v>64859.627218</v>
      </c>
      <c r="U17" s="31">
        <v>1.07265157669799</v>
      </c>
      <c r="V17" s="18">
        <v>54695.024769</v>
      </c>
      <c r="W17" s="31">
        <v>1.0683870938729</v>
      </c>
      <c r="X17" s="18">
        <v>43833.524111</v>
      </c>
      <c r="Y17" s="31">
        <v>1.04290368680463</v>
      </c>
      <c r="Z17" s="18">
        <v>32823.92932</v>
      </c>
      <c r="AA17" s="31">
        <v>1.03572163035463</v>
      </c>
      <c r="AB17" s="18">
        <v>21779.281754</v>
      </c>
      <c r="AC17" s="39">
        <v>1.05016918992998</v>
      </c>
      <c r="AD17" s="40">
        <v>11629.523428</v>
      </c>
      <c r="AE17" s="38">
        <f>VLOOKUP(B17,[1]Sheet1!$B$2:$BL$26,59,0)</f>
        <v>0.970927911920832</v>
      </c>
      <c r="AF17" s="37">
        <f>VLOOKUP(B17,[1]Sheet1!$B$2:$BL$26,57,0)</f>
        <v>118296.768687</v>
      </c>
      <c r="AG17" s="44">
        <v>1.01977045788439</v>
      </c>
      <c r="AH17" s="40">
        <v>114723.591125</v>
      </c>
      <c r="AI17" s="45">
        <v>1.00773087226638</v>
      </c>
      <c r="AJ17" s="40">
        <v>103855.323676</v>
      </c>
      <c r="AK17" s="15">
        <v>92894.618653</v>
      </c>
      <c r="AL17" s="14">
        <v>0.99394943914528</v>
      </c>
      <c r="AM17" s="31">
        <v>1.01604247465739</v>
      </c>
      <c r="AN17" s="18">
        <v>84561.831409</v>
      </c>
      <c r="AO17" s="31">
        <v>1.00982155864028</v>
      </c>
      <c r="AP17" s="18">
        <v>74138.433271</v>
      </c>
      <c r="AQ17" s="31">
        <v>0.991669080991723</v>
      </c>
      <c r="AR17" s="18">
        <v>63250.932746</v>
      </c>
      <c r="AS17" s="31">
        <v>0.986634873211085</v>
      </c>
      <c r="AT17" s="18">
        <v>52815.815669</v>
      </c>
      <c r="AU17" s="31">
        <v>0.986529747277722</v>
      </c>
      <c r="AV17" s="18">
        <v>42249.621333</v>
      </c>
      <c r="AW17" s="31">
        <v>0.974346366650881</v>
      </c>
      <c r="AX17" s="18">
        <v>31274.347024</v>
      </c>
      <c r="AY17" s="31">
        <v>0.95076251527616</v>
      </c>
      <c r="AZ17" s="18">
        <v>20881.861261</v>
      </c>
      <c r="BA17" s="31">
        <v>0.843832222125005</v>
      </c>
      <c r="BB17" s="18">
        <v>9316.644629</v>
      </c>
    </row>
    <row r="18" ht="15" spans="1:54">
      <c r="A18" s="7" t="s">
        <v>34</v>
      </c>
      <c r="B18" s="7" t="s">
        <v>35</v>
      </c>
      <c r="C18" s="8">
        <f>VLOOKUP(B18,'[2]2026年2月'!$B$2:$BJ$26,60,0)</f>
        <v>0.789496296751761</v>
      </c>
      <c r="D18" s="7">
        <f>VLOOKUP(B18,'[2]2026年2月'!$B$2:$BJ$27,58,0)</f>
        <v>7512.699927</v>
      </c>
      <c r="E18" s="8">
        <f>VLOOKUP(B18,'[3]2026年1月'!$B$2:$BJ$26,60,0)</f>
        <v>0.684683724409668</v>
      </c>
      <c r="F18" s="7">
        <f>VLOOKUP(B18,'[3]2026年1月'!$B$2:$BJ$26,58,0)</f>
        <v>3246.190318</v>
      </c>
      <c r="G18" s="8">
        <f>VLOOKUP(B18,[1]Sheet1!$B$2:$BJ$26,60,0)</f>
        <v>1.07253746817275</v>
      </c>
      <c r="H18" s="9">
        <f>VLOOKUP(B18,[1]Sheet1!$B$2:$BJ$26,58,0)</f>
        <v>59693.6430450355</v>
      </c>
      <c r="I18" s="8">
        <v>1.00120616846066</v>
      </c>
      <c r="J18" s="13">
        <v>57680.336513</v>
      </c>
      <c r="K18" s="14">
        <v>0.988592434561658</v>
      </c>
      <c r="L18" s="15">
        <v>49384.320933</v>
      </c>
      <c r="M18" s="8">
        <v>0.989234480489566</v>
      </c>
      <c r="N18" s="16">
        <v>44647.768907</v>
      </c>
      <c r="O18" s="17">
        <v>0.999318801382797</v>
      </c>
      <c r="P18" s="18">
        <v>40619.335975</v>
      </c>
      <c r="Q18" s="17">
        <v>0.993357099028194</v>
      </c>
      <c r="R18" s="18">
        <v>35462.203081</v>
      </c>
      <c r="S18" s="31">
        <v>0.964380299213163</v>
      </c>
      <c r="T18" s="18">
        <v>29543.842514</v>
      </c>
      <c r="U18" s="31">
        <v>0.963911336799031</v>
      </c>
      <c r="V18" s="18">
        <v>24724.987034</v>
      </c>
      <c r="W18" s="31">
        <v>0.971257998159591</v>
      </c>
      <c r="X18" s="18">
        <v>19848.671177</v>
      </c>
      <c r="Y18" s="31">
        <v>0.946908280700631</v>
      </c>
      <c r="Z18" s="18">
        <v>14460.173103</v>
      </c>
      <c r="AA18" s="31">
        <v>0.923214520359969</v>
      </c>
      <c r="AB18" s="18">
        <v>9092.626095</v>
      </c>
      <c r="AC18" s="36">
        <v>0.908988880216165</v>
      </c>
      <c r="AD18" s="37">
        <v>5131.224429</v>
      </c>
      <c r="AE18" s="38">
        <f>VLOOKUP(B18,[1]Sheet1!$B$2:$BL$26,59,0)</f>
        <v>1.14234066349439</v>
      </c>
      <c r="AF18" s="37">
        <f>VLOOKUP(B18,[1]Sheet1!$B$2:$BL$26,57,0)</f>
        <v>61699.95018</v>
      </c>
      <c r="AG18" s="44">
        <v>1.02714178347704</v>
      </c>
      <c r="AH18" s="40">
        <v>59498.867725</v>
      </c>
      <c r="AI18" s="45">
        <v>1.01515618686532</v>
      </c>
      <c r="AJ18" s="40">
        <v>53740.45267</v>
      </c>
      <c r="AK18" s="15">
        <v>47838.361974</v>
      </c>
      <c r="AL18" s="14">
        <v>1.00455170170606</v>
      </c>
      <c r="AM18" s="31">
        <v>1.01949673678719</v>
      </c>
      <c r="AN18" s="18">
        <v>40649.671675</v>
      </c>
      <c r="AO18" s="31">
        <v>1.01311742839385</v>
      </c>
      <c r="AP18" s="18">
        <v>35478.921961</v>
      </c>
      <c r="AQ18" s="31">
        <v>0.984630107628892</v>
      </c>
      <c r="AR18" s="18">
        <v>29865.564842</v>
      </c>
      <c r="AS18" s="31">
        <v>0.966540787713773</v>
      </c>
      <c r="AT18" s="18">
        <v>24592.580538</v>
      </c>
      <c r="AU18" s="31">
        <v>0.979365241185936</v>
      </c>
      <c r="AV18" s="18">
        <v>19872.757305</v>
      </c>
      <c r="AW18" s="31">
        <v>0.960934197596768</v>
      </c>
      <c r="AX18" s="18">
        <v>14855.841038</v>
      </c>
      <c r="AY18" s="31">
        <v>0.900873346408481</v>
      </c>
      <c r="AZ18" s="18">
        <v>9460.959215</v>
      </c>
      <c r="BA18" s="31">
        <v>0.858508157124225</v>
      </c>
      <c r="BB18" s="18">
        <v>4998.574096</v>
      </c>
    </row>
    <row r="19" ht="15" spans="1:54">
      <c r="A19" s="7" t="s">
        <v>36</v>
      </c>
      <c r="B19" s="7" t="s">
        <v>37</v>
      </c>
      <c r="C19" s="8">
        <f>VLOOKUP(B19,'[2]2026年2月'!$B$2:$BJ$26,60,0)</f>
        <v>1.04044831186076</v>
      </c>
      <c r="D19" s="7">
        <f>VLOOKUP(B19,'[2]2026年2月'!$B$2:$BJ$27,58,0)</f>
        <v>12768.340291</v>
      </c>
      <c r="E19" s="8">
        <f>VLOOKUP(B19,'[3]2026年1月'!$B$2:$BJ$26,60,0)</f>
        <v>0.975451018112604</v>
      </c>
      <c r="F19" s="7">
        <f>VLOOKUP(B19,'[3]2026年1月'!$B$2:$BJ$26,58,0)</f>
        <v>6206.450297</v>
      </c>
      <c r="G19" s="8">
        <f>VLOOKUP(B19,[1]Sheet1!$B$2:$BJ$26,60,0)</f>
        <v>1.05712746680503</v>
      </c>
      <c r="H19" s="9">
        <f>VLOOKUP(B19,[1]Sheet1!$B$2:$BJ$26,58,0)</f>
        <v>82146.766976087</v>
      </c>
      <c r="I19" s="8">
        <v>0.992025571877191</v>
      </c>
      <c r="J19" s="13">
        <v>73368.697218</v>
      </c>
      <c r="K19" s="14">
        <v>0.97640419967557</v>
      </c>
      <c r="L19" s="15">
        <v>66216.12358</v>
      </c>
      <c r="M19" s="8">
        <v>0.964942070482789</v>
      </c>
      <c r="N19" s="16">
        <v>59744.095242</v>
      </c>
      <c r="O19" s="17">
        <v>0.983784811843564</v>
      </c>
      <c r="P19" s="18">
        <v>54895.683318</v>
      </c>
      <c r="Q19" s="17">
        <v>0.976564300944289</v>
      </c>
      <c r="R19" s="18">
        <v>48224.41638</v>
      </c>
      <c r="S19" s="31">
        <v>0.977482733652866</v>
      </c>
      <c r="T19" s="18">
        <v>41699.884925</v>
      </c>
      <c r="U19" s="31">
        <v>0.997462788082266</v>
      </c>
      <c r="V19" s="18">
        <v>34782.173114</v>
      </c>
      <c r="W19" s="31">
        <v>0.995507127887286</v>
      </c>
      <c r="X19" s="18">
        <v>28216.404282</v>
      </c>
      <c r="Y19" s="31">
        <v>0.97861178024739</v>
      </c>
      <c r="Z19" s="18">
        <v>20962.32064</v>
      </c>
      <c r="AA19" s="31">
        <v>1.04141537912885</v>
      </c>
      <c r="AB19" s="18">
        <v>14223.986662</v>
      </c>
      <c r="AC19" s="39">
        <v>1.13319505311496</v>
      </c>
      <c r="AD19" s="40">
        <v>7628.690158</v>
      </c>
      <c r="AE19" s="38">
        <f>VLOOKUP(B19,[1]Sheet1!$B$2:$BL$26,59,0)</f>
        <v>0.934822460772915</v>
      </c>
      <c r="AF19" s="37">
        <f>VLOOKUP(B19,[1]Sheet1!$B$2:$BL$26,57,0)</f>
        <v>77350.60246</v>
      </c>
      <c r="AG19" s="44">
        <v>0.975811256713793</v>
      </c>
      <c r="AH19" s="40">
        <v>74169.379393</v>
      </c>
      <c r="AI19" s="45">
        <v>0.959223324299852</v>
      </c>
      <c r="AJ19" s="40">
        <v>66979.194145</v>
      </c>
      <c r="AK19" s="15">
        <v>59803.487792</v>
      </c>
      <c r="AL19" s="14">
        <v>0.947233195489192</v>
      </c>
      <c r="AM19" s="31">
        <v>0.973284586862378</v>
      </c>
      <c r="AN19" s="18">
        <v>54742.161999</v>
      </c>
      <c r="AO19" s="31">
        <v>0.973824902533999</v>
      </c>
      <c r="AP19" s="18">
        <v>47845.985436</v>
      </c>
      <c r="AQ19" s="31">
        <v>0.966487233282724</v>
      </c>
      <c r="AR19" s="18">
        <v>40819.723113</v>
      </c>
      <c r="AS19" s="31">
        <v>0.948244476444071</v>
      </c>
      <c r="AT19" s="18">
        <v>34007.742509</v>
      </c>
      <c r="AU19" s="31">
        <v>0.95386632331396</v>
      </c>
      <c r="AV19" s="18">
        <v>27086.209658</v>
      </c>
      <c r="AW19" s="31">
        <v>0.975426838207791</v>
      </c>
      <c r="AX19" s="18">
        <v>20133.660029</v>
      </c>
      <c r="AY19" s="31">
        <v>0.901191370023674</v>
      </c>
      <c r="AZ19" s="18">
        <v>12895.716553</v>
      </c>
      <c r="BA19" s="31">
        <v>0.715780260516032</v>
      </c>
      <c r="BB19" s="18">
        <v>5220.986577</v>
      </c>
    </row>
    <row r="20" ht="15" spans="1:54">
      <c r="A20" s="7" t="s">
        <v>38</v>
      </c>
      <c r="B20" s="7" t="s">
        <v>39</v>
      </c>
      <c r="C20" s="8">
        <f>VLOOKUP(B20,'[2]2026年2月'!$B$2:$BJ$26,60,0)</f>
        <v>0.99616862116697</v>
      </c>
      <c r="D20" s="7">
        <f>VLOOKUP(B20,'[2]2026年2月'!$B$2:$BJ$27,58,0)</f>
        <v>9982.368816</v>
      </c>
      <c r="E20" s="8">
        <f>VLOOKUP(B20,'[3]2026年1月'!$B$2:$BJ$26,60,0)</f>
        <v>0.84720967069308</v>
      </c>
      <c r="F20" s="7">
        <f>VLOOKUP(B20,'[3]2026年1月'!$B$2:$BJ$26,58,0)</f>
        <v>4505.231063</v>
      </c>
      <c r="G20" s="8">
        <f>VLOOKUP(B20,[1]Sheet1!$B$2:$BJ$26,60,0)</f>
        <v>1.06476884913505</v>
      </c>
      <c r="H20" s="9">
        <f>VLOOKUP(B20,[1]Sheet1!$B$2:$BJ$26,58,0)</f>
        <v>65740.965988564</v>
      </c>
      <c r="I20" s="8">
        <v>1.01229279185235</v>
      </c>
      <c r="J20" s="13">
        <v>59121.930235</v>
      </c>
      <c r="K20" s="14">
        <v>1.01639979647731</v>
      </c>
      <c r="L20" s="15">
        <v>53880.150397</v>
      </c>
      <c r="M20" s="8">
        <v>1.01893743672022</v>
      </c>
      <c r="N20" s="16">
        <v>49000.179049</v>
      </c>
      <c r="O20" s="17">
        <v>1.03633994000892</v>
      </c>
      <c r="P20" s="18">
        <v>44607.157942</v>
      </c>
      <c r="Q20" s="17">
        <v>1.04982300550451</v>
      </c>
      <c r="R20" s="18">
        <v>39703.640451</v>
      </c>
      <c r="S20" s="31">
        <v>1.02344791397895</v>
      </c>
      <c r="T20" s="18">
        <v>33586.077851</v>
      </c>
      <c r="U20" s="31">
        <v>1.04066903321009</v>
      </c>
      <c r="V20" s="18">
        <v>28231.299704</v>
      </c>
      <c r="W20" s="31">
        <v>1.04923842501566</v>
      </c>
      <c r="X20" s="18">
        <v>22720.563948</v>
      </c>
      <c r="Y20" s="31">
        <v>1.0071326875303</v>
      </c>
      <c r="Z20" s="18">
        <v>16705.048942</v>
      </c>
      <c r="AA20" s="31">
        <v>0.999295750043644</v>
      </c>
      <c r="AB20" s="18">
        <v>11370.019675</v>
      </c>
      <c r="AC20" s="39">
        <v>1.06205850731378</v>
      </c>
      <c r="AD20" s="40">
        <v>6041.699739</v>
      </c>
      <c r="AE20" s="38">
        <f>VLOOKUP(B20,[1]Sheet1!$B$2:$BL$26,59,0)</f>
        <v>0.988058302454862</v>
      </c>
      <c r="AF20" s="37">
        <f>VLOOKUP(B20,[1]Sheet1!$B$2:$BL$26,57,0)</f>
        <v>62729.285128</v>
      </c>
      <c r="AG20" s="44">
        <v>1.04163812020443</v>
      </c>
      <c r="AH20" s="40">
        <v>60719.380568</v>
      </c>
      <c r="AI20" s="45">
        <v>1.0425260049528</v>
      </c>
      <c r="AJ20" s="40">
        <v>55533.856806</v>
      </c>
      <c r="AK20" s="15">
        <v>49419.9921</v>
      </c>
      <c r="AL20" s="14">
        <v>1.01441217582917</v>
      </c>
      <c r="AM20" s="31">
        <v>1.04039493528525</v>
      </c>
      <c r="AN20" s="18">
        <v>44671.310301</v>
      </c>
      <c r="AO20" s="31">
        <v>1.03528013722833</v>
      </c>
      <c r="AP20" s="18">
        <v>39140.622074</v>
      </c>
      <c r="AQ20" s="31">
        <v>1.02121548230816</v>
      </c>
      <c r="AR20" s="18">
        <v>33442.854742</v>
      </c>
      <c r="AS20" s="31">
        <v>1.03249300847592</v>
      </c>
      <c r="AT20" s="18">
        <v>27901.937582</v>
      </c>
      <c r="AU20" s="31">
        <v>1.0358634143369</v>
      </c>
      <c r="AV20" s="18">
        <v>22289.691426</v>
      </c>
      <c r="AW20" s="31">
        <v>1.03039848358516</v>
      </c>
      <c r="AX20" s="18">
        <v>16610.415452</v>
      </c>
      <c r="AY20" s="31">
        <v>1.05093092894164</v>
      </c>
      <c r="AZ20" s="18">
        <v>11358.344524</v>
      </c>
      <c r="BA20" s="31">
        <v>0.986584398472498</v>
      </c>
      <c r="BB20" s="18">
        <v>5372.813769</v>
      </c>
    </row>
    <row r="21" ht="15" spans="1:54">
      <c r="A21" s="7" t="s">
        <v>40</v>
      </c>
      <c r="B21" s="7" t="s">
        <v>41</v>
      </c>
      <c r="C21" s="8">
        <f>VLOOKUP(B21,'[2]2026年2月'!$B$2:$BJ$26,60,0)</f>
        <v>0.395424633160755</v>
      </c>
      <c r="D21" s="7">
        <f>VLOOKUP(B21,'[2]2026年2月'!$B$2:$BJ$27,58,0)</f>
        <v>2736.812075</v>
      </c>
      <c r="E21" s="8">
        <f>VLOOKUP(B21,'[3]2026年1月'!$B$2:$BJ$26,60,0)</f>
        <v>0.134671744097753</v>
      </c>
      <c r="F21" s="7">
        <f>VLOOKUP(B21,'[3]2026年1月'!$B$2:$BJ$26,58,0)</f>
        <v>501.706987999999</v>
      </c>
      <c r="G21" s="8">
        <f>VLOOKUP(B21,[1]Sheet1!$B$2:$BJ$26,60,0)</f>
        <v>1.02748985104123</v>
      </c>
      <c r="H21" s="9">
        <f>VLOOKUP(B21,[1]Sheet1!$B$2:$BJ$26,58,0)</f>
        <v>45042.1889513559</v>
      </c>
      <c r="I21" s="8">
        <v>0.887981368478885</v>
      </c>
      <c r="J21" s="13">
        <v>35783.588089</v>
      </c>
      <c r="K21" s="14">
        <v>0.865286849732131</v>
      </c>
      <c r="L21" s="15">
        <v>31273.109833</v>
      </c>
      <c r="M21" s="8">
        <v>0.856948907374657</v>
      </c>
      <c r="N21" s="16">
        <v>27990.856729</v>
      </c>
      <c r="O21" s="17">
        <v>0.929491673716465</v>
      </c>
      <c r="P21" s="18">
        <v>26839.861151</v>
      </c>
      <c r="Q21" s="17">
        <v>0.932886754294301</v>
      </c>
      <c r="R21" s="18">
        <v>23551.583895</v>
      </c>
      <c r="S21" s="31">
        <v>0.919352653290606</v>
      </c>
      <c r="T21" s="18">
        <v>19961.705589</v>
      </c>
      <c r="U21" s="31">
        <v>0.879105378004016</v>
      </c>
      <c r="V21" s="18">
        <v>15259.706733</v>
      </c>
      <c r="W21" s="31">
        <v>0.829414896509877</v>
      </c>
      <c r="X21" s="18">
        <v>11648.246097</v>
      </c>
      <c r="Y21" s="31">
        <v>0.84233631716548</v>
      </c>
      <c r="Z21" s="18">
        <v>9062.369043</v>
      </c>
      <c r="AA21" s="31">
        <v>0.867123355482154</v>
      </c>
      <c r="AB21" s="18">
        <v>5638.757295</v>
      </c>
      <c r="AC21" s="39">
        <v>0.995659630278548</v>
      </c>
      <c r="AD21" s="40">
        <v>3337.809555</v>
      </c>
      <c r="AE21" s="38">
        <f>VLOOKUP(B21,[1]Sheet1!$B$2:$BL$26,59,0)</f>
        <v>1.08488486270799</v>
      </c>
      <c r="AF21" s="37">
        <f>VLOOKUP(B21,[1]Sheet1!$B$2:$BL$26,57,0)</f>
        <v>44724.369862</v>
      </c>
      <c r="AG21" s="44">
        <v>1.04806356090609</v>
      </c>
      <c r="AH21" s="40">
        <v>39167.990026</v>
      </c>
      <c r="AI21" s="45">
        <v>1.04516191719936</v>
      </c>
      <c r="AJ21" s="40">
        <v>35121.524872</v>
      </c>
      <c r="AK21" s="15">
        <v>27912.375829</v>
      </c>
      <c r="AL21" s="14">
        <v>1.01797616372627</v>
      </c>
      <c r="AM21" s="31">
        <v>1.01732026102809</v>
      </c>
      <c r="AN21" s="18">
        <v>27618.336823</v>
      </c>
      <c r="AO21" s="31">
        <v>1.01389887782498</v>
      </c>
      <c r="AP21" s="18">
        <v>24227.254357</v>
      </c>
      <c r="AQ21" s="31">
        <v>0.953155416634965</v>
      </c>
      <c r="AR21" s="18">
        <v>19699.851535</v>
      </c>
      <c r="AS21" s="31">
        <v>0.964401781671776</v>
      </c>
      <c r="AT21" s="18">
        <v>16327.019275</v>
      </c>
      <c r="AU21" s="31">
        <v>0.946822033205773</v>
      </c>
      <c r="AV21" s="18">
        <v>12579.867728</v>
      </c>
      <c r="AW21" s="31">
        <v>0.937634706999981</v>
      </c>
      <c r="AX21" s="18">
        <v>9463.836825</v>
      </c>
      <c r="AY21" s="31">
        <v>0.87685979487761</v>
      </c>
      <c r="AZ21" s="18">
        <v>5245.938557</v>
      </c>
      <c r="BA21" s="31">
        <v>0.730003958298507</v>
      </c>
      <c r="BB21" s="18">
        <v>2038.495742</v>
      </c>
    </row>
    <row r="22" ht="15" spans="1:54">
      <c r="A22" s="7" t="s">
        <v>42</v>
      </c>
      <c r="B22" s="7" t="s">
        <v>43</v>
      </c>
      <c r="C22" s="8">
        <f>VLOOKUP(B22,'[2]2026年2月'!$B$2:$BJ$26,60,0)</f>
        <v>0.627713682491048</v>
      </c>
      <c r="D22" s="7">
        <f>VLOOKUP(B22,'[2]2026年2月'!$B$2:$BJ$27,58,0)</f>
        <v>5301.160421</v>
      </c>
      <c r="E22" s="8">
        <f>VLOOKUP(B22,'[3]2026年1月'!$B$2:$BJ$26,60,0)</f>
        <v>0.502730054795928</v>
      </c>
      <c r="F22" s="7">
        <f>VLOOKUP(B22,'[3]2026年1月'!$B$2:$BJ$26,58,0)</f>
        <v>2308.057516</v>
      </c>
      <c r="G22" s="8">
        <f>VLOOKUP(B22,[1]Sheet1!$B$2:$BJ$26,60,0)</f>
        <v>1.00037811752344</v>
      </c>
      <c r="H22" s="9">
        <f>VLOOKUP(B22,[1]Sheet1!$B$2:$BJ$26,58,0)</f>
        <v>57243.266441173</v>
      </c>
      <c r="I22" s="8">
        <v>0.918754439314984</v>
      </c>
      <c r="J22" s="13">
        <v>47041.24094</v>
      </c>
      <c r="K22" s="14">
        <v>0.901627769652897</v>
      </c>
      <c r="L22" s="15">
        <v>41794.079064</v>
      </c>
      <c r="M22" s="8">
        <v>0.885367850137291</v>
      </c>
      <c r="N22" s="16">
        <v>37038.330672</v>
      </c>
      <c r="O22" s="17">
        <v>0.905915146237949</v>
      </c>
      <c r="P22" s="18">
        <v>33916.344539</v>
      </c>
      <c r="Q22" s="17">
        <v>0.928220454675625</v>
      </c>
      <c r="R22" s="18">
        <v>30613.107079</v>
      </c>
      <c r="S22" s="31">
        <v>0.91948431486735</v>
      </c>
      <c r="T22" s="18">
        <v>26161.788019</v>
      </c>
      <c r="U22" s="31">
        <v>0.915465797455809</v>
      </c>
      <c r="V22" s="18">
        <v>20950.27769</v>
      </c>
      <c r="W22" s="31">
        <v>0.912574646559311</v>
      </c>
      <c r="X22" s="18">
        <v>16554.126725</v>
      </c>
      <c r="Y22" s="31">
        <v>0.852418806564546</v>
      </c>
      <c r="Z22" s="18">
        <v>11750.745476</v>
      </c>
      <c r="AA22" s="31">
        <v>0.831082785460644</v>
      </c>
      <c r="AB22" s="18">
        <v>7327.043572</v>
      </c>
      <c r="AC22" s="39">
        <v>0.973292644234607</v>
      </c>
      <c r="AD22" s="40">
        <v>4196.233329</v>
      </c>
      <c r="AE22" s="38">
        <f>VLOOKUP(B22,[1]Sheet1!$B$2:$BL$26,59,0)</f>
        <v>0.955474851456348</v>
      </c>
      <c r="AF22" s="37">
        <f>VLOOKUP(B22,[1]Sheet1!$B$2:$BL$26,57,0)</f>
        <v>55078.813503</v>
      </c>
      <c r="AG22" s="44">
        <v>0.913736773869467</v>
      </c>
      <c r="AH22" s="40">
        <v>46757.973402</v>
      </c>
      <c r="AI22" s="45">
        <v>0.915379289134685</v>
      </c>
      <c r="AJ22" s="40">
        <v>42937.301408</v>
      </c>
      <c r="AK22" s="15">
        <v>39228.340664</v>
      </c>
      <c r="AL22" s="14">
        <v>0.930979648525986</v>
      </c>
      <c r="AM22" s="31">
        <v>1.01124314557159</v>
      </c>
      <c r="AN22" s="18">
        <v>38246.603091</v>
      </c>
      <c r="AO22" s="31">
        <v>1.0266329088199</v>
      </c>
      <c r="AP22" s="18">
        <v>34018.457467</v>
      </c>
      <c r="AQ22" s="31">
        <v>0.943339062081736</v>
      </c>
      <c r="AR22" s="18">
        <v>26789.70392</v>
      </c>
      <c r="AS22" s="31">
        <v>0.934075237602247</v>
      </c>
      <c r="AT22" s="18">
        <v>21618.06624</v>
      </c>
      <c r="AU22" s="31">
        <v>0.894179771616745</v>
      </c>
      <c r="AV22" s="18">
        <v>16522.328292</v>
      </c>
      <c r="AW22" s="31">
        <v>0.893111011217193</v>
      </c>
      <c r="AX22" s="18">
        <v>12515.805101</v>
      </c>
      <c r="AY22" s="31">
        <v>0.826440115951928</v>
      </c>
      <c r="AZ22" s="18">
        <v>7610.487564</v>
      </c>
      <c r="BA22" s="31">
        <v>0.785919953451991</v>
      </c>
      <c r="BB22" s="18">
        <v>3912.960795</v>
      </c>
    </row>
    <row r="23" ht="15" spans="1:54">
      <c r="A23" s="10" t="s">
        <v>44</v>
      </c>
      <c r="B23" s="10" t="s">
        <v>45</v>
      </c>
      <c r="C23" s="8">
        <f>VLOOKUP(B23,'[2]2026年2月'!$B$2:$BJ$26,60,0)</f>
        <v>0.755964436796519</v>
      </c>
      <c r="D23" s="7">
        <f>VLOOKUP(B23,'[2]2026年2月'!$B$2:$BJ$27,58,0)</f>
        <v>16426.600029</v>
      </c>
      <c r="E23" s="8">
        <f>VLOOKUP(B23,'[3]2026年1月'!$B$2:$BJ$26,60,0)</f>
        <v>0.646869895463775</v>
      </c>
      <c r="F23" s="7">
        <f>VLOOKUP(B23,'[3]2026年1月'!$B$2:$BJ$26,58,0)</f>
        <v>7425.793437</v>
      </c>
      <c r="G23" s="8">
        <f>VLOOKUP(B23,[1]Sheet1!$B$2:$BJ$26,60,0)</f>
        <v>1.01750445730625</v>
      </c>
      <c r="H23" s="9">
        <f>VLOOKUP(B23,[1]Sheet1!$B$2:$BJ$26,58,0)</f>
        <v>143456.887269012</v>
      </c>
      <c r="I23" s="20">
        <v>0.93898044090581</v>
      </c>
      <c r="J23" s="21">
        <v>121906.517658</v>
      </c>
      <c r="K23" s="14">
        <v>0.929121277647347</v>
      </c>
      <c r="L23" s="15">
        <v>108523.270699</v>
      </c>
      <c r="M23" s="20">
        <v>0.922171001490857</v>
      </c>
      <c r="N23" s="16">
        <v>97139.128834</v>
      </c>
      <c r="O23" s="17">
        <v>0.939734824920268</v>
      </c>
      <c r="P23" s="18">
        <v>88767.062274</v>
      </c>
      <c r="Q23" s="17">
        <v>0.931314091613666</v>
      </c>
      <c r="R23" s="18">
        <v>77841.264005</v>
      </c>
      <c r="S23" s="31">
        <v>0.913411822976764</v>
      </c>
      <c r="T23" s="18">
        <v>66045.372993</v>
      </c>
      <c r="U23" s="31">
        <v>0.920056979179097</v>
      </c>
      <c r="V23" s="18">
        <v>53887.251566</v>
      </c>
      <c r="W23" s="31">
        <v>0.906078873846666</v>
      </c>
      <c r="X23" s="18">
        <v>42469.396579</v>
      </c>
      <c r="Y23" s="31">
        <v>0.865942414131216</v>
      </c>
      <c r="Z23" s="18">
        <v>31104.775774</v>
      </c>
      <c r="AA23" s="31">
        <v>0.824107012257529</v>
      </c>
      <c r="AB23" s="18">
        <v>19734.878031</v>
      </c>
      <c r="AC23" s="36">
        <v>0.802998210390771</v>
      </c>
      <c r="AD23" s="37">
        <v>9141.828581</v>
      </c>
      <c r="AE23" s="38">
        <f>VLOOKUP(B23,[1]Sheet1!$B$2:$BL$26,59,0)</f>
        <v>0.980468368087674</v>
      </c>
      <c r="AF23" s="37">
        <f>VLOOKUP(B23,[1]Sheet1!$B$2:$BL$26,57,0)</f>
        <v>135962.548653</v>
      </c>
      <c r="AG23" s="44">
        <v>0.960027985221271</v>
      </c>
      <c r="AH23" s="40">
        <v>122607.750677</v>
      </c>
      <c r="AI23" s="45">
        <v>0.955995957592598</v>
      </c>
      <c r="AJ23" s="40">
        <v>110885.987549</v>
      </c>
      <c r="AK23" s="15">
        <v>99451.668561</v>
      </c>
      <c r="AL23" s="14">
        <v>0.945027062517419</v>
      </c>
      <c r="AM23" s="31">
        <v>0.971234906423022</v>
      </c>
      <c r="AN23" s="18">
        <v>90793.57477</v>
      </c>
      <c r="AO23" s="31">
        <v>0.970344551276371</v>
      </c>
      <c r="AP23" s="18">
        <v>79607.359107</v>
      </c>
      <c r="AQ23" s="31">
        <v>0.950680995618492</v>
      </c>
      <c r="AR23" s="18">
        <v>67419.757814</v>
      </c>
      <c r="AS23" s="31">
        <v>0.945324853250947</v>
      </c>
      <c r="AT23" s="18">
        <v>56028.805308</v>
      </c>
      <c r="AU23" s="31">
        <v>0.946609693892118</v>
      </c>
      <c r="AV23" s="18">
        <v>43901.636346</v>
      </c>
      <c r="AW23" s="31">
        <v>0.937263553496252</v>
      </c>
      <c r="AX23" s="18">
        <v>32507.240052</v>
      </c>
      <c r="AY23" s="31">
        <v>0.905278733816058</v>
      </c>
      <c r="AZ23" s="18">
        <v>21512.42931</v>
      </c>
      <c r="BA23" s="31">
        <v>0.827998694149307</v>
      </c>
      <c r="BB23" s="18">
        <v>10056.325246</v>
      </c>
    </row>
    <row r="24" s="1" customFormat="1" ht="15.6" spans="1:54">
      <c r="A24" s="11" t="s">
        <v>46</v>
      </c>
      <c r="B24" s="12"/>
      <c r="C24" s="8">
        <f>VLOOKUP(A24,'[2]2026年2月'!$B$2:$BJ$26,60,0)</f>
        <v>0.919373106466807</v>
      </c>
      <c r="D24" s="7">
        <f>VLOOKUP(A24,'[2]2026年2月'!$B$2:$BJ$27,58,0)</f>
        <v>458096.643821</v>
      </c>
      <c r="E24" s="8">
        <f>VLOOKUP(A24,'[3]2026年1月'!$B$2:$BJ$26,60,0)</f>
        <v>0.803849452391953</v>
      </c>
      <c r="F24" s="7">
        <f>VLOOKUP(A24,'[3]2026年1月'!$B$2:$BJ$26,58,0)</f>
        <v>203501.843905</v>
      </c>
      <c r="G24" s="8">
        <f>VLOOKUP(A24,[1]Sheet1!$B$2:$BJ$26,60,0)</f>
        <v>1.05252235323997</v>
      </c>
      <c r="H24" s="9">
        <f>VLOOKUP(A24,[1]Sheet1!$B$2:$BJ$26,58,0)</f>
        <v>3212100.32710529</v>
      </c>
      <c r="I24" s="22">
        <v>1.00082306819431</v>
      </c>
      <c r="J24" s="23">
        <v>2897955.038562</v>
      </c>
      <c r="K24" s="14">
        <v>0.997116750044503</v>
      </c>
      <c r="L24" s="24">
        <v>2562201.938047</v>
      </c>
      <c r="M24" s="25">
        <v>0.991796442020302</v>
      </c>
      <c r="N24" s="26">
        <f>SUM(N3:N23)</f>
        <v>2296497.252366</v>
      </c>
      <c r="O24" s="17">
        <v>1.00843254112924</v>
      </c>
      <c r="P24" s="27">
        <v>2086032.403943</v>
      </c>
      <c r="Q24" s="32">
        <v>1.00496688661803</v>
      </c>
      <c r="R24" s="27">
        <v>1833562.145821</v>
      </c>
      <c r="S24" s="33">
        <v>0.97879322910224</v>
      </c>
      <c r="T24" s="27">
        <v>1538234.719941</v>
      </c>
      <c r="U24" s="31">
        <v>0.973714071981385</v>
      </c>
      <c r="V24" s="27">
        <v>1257592.212072</v>
      </c>
      <c r="W24" s="31">
        <v>0.971457857037633</v>
      </c>
      <c r="X24" s="27">
        <v>1009086.533615</v>
      </c>
      <c r="Y24" s="31">
        <v>0.94043680191106</v>
      </c>
      <c r="Z24" s="27">
        <v>741894.233568415</v>
      </c>
      <c r="AA24" s="31">
        <v>0.923813082549518</v>
      </c>
      <c r="AB24" s="27">
        <v>477386.100066</v>
      </c>
      <c r="AC24" s="41">
        <v>0.945883312989329</v>
      </c>
      <c r="AD24" s="42">
        <v>251335.806758</v>
      </c>
      <c r="AE24" s="38">
        <f>VLOOKUP(A24,[1]Sheet1!$B$2:$BL$26,59,0)</f>
        <v>1.01571239041593</v>
      </c>
      <c r="AF24" s="37">
        <f>VLOOKUP(A24,[1]Sheet1!$B$2:$BL$26,57,0)</f>
        <v>3089855.196117</v>
      </c>
      <c r="AG24" s="44">
        <v>1.00633469849982</v>
      </c>
      <c r="AH24" s="46">
        <v>2896246.045465</v>
      </c>
      <c r="AI24" s="45">
        <v>0.999491648734003</v>
      </c>
      <c r="AJ24" s="46">
        <v>2617389.619171</v>
      </c>
      <c r="AK24" s="27">
        <f>SUM(AK3:AK23)</f>
        <v>2292336.66886928</v>
      </c>
      <c r="AL24" s="47">
        <v>0.993115881161191</v>
      </c>
      <c r="AM24" s="31">
        <v>1.00130390398794</v>
      </c>
      <c r="AN24" s="27">
        <v>2052859.97414628</v>
      </c>
      <c r="AO24" s="31">
        <v>0.999012619619275</v>
      </c>
      <c r="AP24" s="27">
        <v>1794125.08933628</v>
      </c>
      <c r="AQ24" s="31">
        <v>0.984499409363346</v>
      </c>
      <c r="AR24" s="27">
        <v>1522447.723214</v>
      </c>
      <c r="AS24" s="31">
        <v>0.972647713009937</v>
      </c>
      <c r="AT24" s="27">
        <v>1259921.134023</v>
      </c>
      <c r="AU24" s="31">
        <v>0.963402618797271</v>
      </c>
      <c r="AV24" s="27">
        <v>994884.537902</v>
      </c>
      <c r="AW24" s="31">
        <v>0.953121707784167</v>
      </c>
      <c r="AX24" s="27">
        <v>736983.197874</v>
      </c>
      <c r="AY24" s="33">
        <v>0.90834528068806</v>
      </c>
      <c r="AZ24" s="27">
        <v>463075.029942</v>
      </c>
      <c r="BA24" s="33">
        <v>0.877362976315085</v>
      </c>
      <c r="BB24" s="27">
        <v>226309.571685</v>
      </c>
    </row>
    <row r="25" spans="29:36">
      <c r="AC25" s="43"/>
      <c r="AD25" s="43"/>
      <c r="AE25" s="43"/>
      <c r="AF25" s="43"/>
      <c r="AG25" s="43"/>
      <c r="AH25" s="43"/>
      <c r="AI25" s="43"/>
      <c r="AJ25" s="43"/>
    </row>
    <row r="26" spans="29:36">
      <c r="AC26" s="43"/>
      <c r="AD26" s="43"/>
      <c r="AE26" s="43"/>
      <c r="AF26" s="43"/>
      <c r="AG26" s="43"/>
      <c r="AH26" s="43"/>
      <c r="AI26" s="43"/>
      <c r="AJ26" s="43"/>
    </row>
    <row r="27" spans="29:36">
      <c r="AC27" s="43"/>
      <c r="AD27" s="43"/>
      <c r="AE27" s="43"/>
      <c r="AF27" s="43"/>
      <c r="AG27" s="43"/>
      <c r="AH27" s="43"/>
      <c r="AI27" s="43"/>
      <c r="AJ27" s="43"/>
    </row>
    <row r="28" spans="29:36">
      <c r="AC28" s="43"/>
      <c r="AD28" s="43"/>
      <c r="AE28" s="43"/>
      <c r="AF28" s="43"/>
      <c r="AG28" s="43"/>
      <c r="AH28" s="43"/>
      <c r="AI28" s="43"/>
      <c r="AJ28" s="43"/>
    </row>
    <row r="29" spans="29:36">
      <c r="AC29" s="43"/>
      <c r="AD29" s="43"/>
      <c r="AE29" s="43"/>
      <c r="AF29" s="43"/>
      <c r="AG29" s="43"/>
      <c r="AH29" s="43"/>
      <c r="AI29" s="43"/>
      <c r="AJ29" s="43"/>
    </row>
  </sheetData>
  <autoFilter ref="A2:BB24">
    <sortState ref="A2:BB24">
      <sortCondition ref="A2"/>
    </sortState>
    <extLst/>
  </autoFilter>
  <mergeCells count="29"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A24:B24"/>
    <mergeCell ref="A1:A2"/>
    <mergeCell ref="B1:B2"/>
  </mergeCells>
  <conditionalFormatting sqref="L24">
    <cfRule type="cellIs" dxfId="0" priority="3" stopIfTrue="1" operator="lessThan">
      <formula>0</formula>
    </cfRule>
  </conditionalFormatting>
  <conditionalFormatting sqref="AH24">
    <cfRule type="cellIs" dxfId="0" priority="1" stopIfTrue="1" operator="lessThan">
      <formula>0</formula>
    </cfRule>
  </conditionalFormatting>
  <conditionalFormatting sqref="AJ24">
    <cfRule type="cellIs" dxfId="0" priority="2" stopIfTrue="1" operator="lessThan">
      <formula>0</formula>
    </cfRule>
  </conditionalFormatting>
  <conditionalFormatting sqref="A3:K3 A4:B23 I4:K23 M3:N23 C4:H24">
    <cfRule type="cellIs" dxfId="0" priority="4" stopIfTrue="1" operator="lessThan">
      <formula>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Wenyiling</dc:creator>
  <cp:lastModifiedBy>NTKO</cp:lastModifiedBy>
  <dcterms:created xsi:type="dcterms:W3CDTF">2015-06-05T18:19:00Z</dcterms:created>
  <dcterms:modified xsi:type="dcterms:W3CDTF">2026-03-31T10:07:25Z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74E8B41E096149CF948F8595C4EE099C_12</vt:lpwstr>
  </property>
  <property fmtid="{D5CDD505-2E9C-101B-9397-08002B2CF9AE}" pid="3" name="KSOProductBuildVer">
    <vt:lpwstr>2052-11.8.2.12118</vt:lpwstr>
  </property>
</Properties>
</file>