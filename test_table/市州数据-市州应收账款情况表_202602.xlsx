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2935"/>
  </bookViews>
  <sheets>
    <sheet name="2026年2月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'2026年2月'!$A$4:$BE$28</definedName>
  </definedNames>
  <calcPr calcId="144525"/>
</workbook>
</file>

<file path=xl/sharedStrings.xml><?xml version="1.0" encoding="utf-8"?>
<sst xmlns="http://schemas.openxmlformats.org/spreadsheetml/2006/main" count="102" uniqueCount="87">
  <si>
    <t>2026年2月市州应收账款情况表</t>
  </si>
  <si>
    <t>序号</t>
  </si>
  <si>
    <t>单位</t>
  </si>
  <si>
    <t>2025年收入完成（不含云及IDC直销收入）</t>
  </si>
  <si>
    <t>2026年收入预算（不含云及IDC运营中心直销客户的IDC收入）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</si>
  <si>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</si>
  <si>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</si>
  <si>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</si>
  <si>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</si>
  <si>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</si>
  <si>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</si>
  <si>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</si>
  <si>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本期坏账计提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</si>
  <si>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</si>
  <si>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</si>
  <si>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</si>
  <si>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</si>
  <si>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</si>
  <si>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</si>
  <si>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</si>
  <si>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202502
应收总额</t>
  </si>
  <si>
    <t>202602
应收总额</t>
  </si>
  <si>
    <t>应收总额同比增幅</t>
  </si>
  <si>
    <t>202502
占收比</t>
  </si>
  <si>
    <t>202602
占收比</t>
  </si>
  <si>
    <t>排名</t>
  </si>
  <si>
    <t>占收比同比</t>
  </si>
  <si>
    <t>202502
应收产数</t>
  </si>
  <si>
    <t>202602
应收产数</t>
  </si>
  <si>
    <t>产数应收账款增幅</t>
  </si>
  <si>
    <t>202502
产数占收比</t>
  </si>
  <si>
    <t>202602
产数占收比</t>
  </si>
  <si>
    <t>产数占收比同比</t>
  </si>
  <si>
    <t>202602资源型应收账款总额</t>
  </si>
  <si>
    <t>202602产数ICT应收账款总额</t>
  </si>
  <si>
    <t>202602资源型收入（剔除云锦IDC收入）</t>
  </si>
  <si>
    <t>202602产数ICT收入</t>
  </si>
  <si>
    <t>202602资源型应收占收比</t>
  </si>
  <si>
    <t>202602产数ICT应收占收比</t>
  </si>
  <si>
    <t>202502
基础应收</t>
  </si>
  <si>
    <t>202602
基础应收</t>
  </si>
  <si>
    <t>基础应收同比增幅</t>
  </si>
  <si>
    <t>202502
基础占收比</t>
  </si>
  <si>
    <t>202602
基础占收比</t>
  </si>
  <si>
    <t>基础占收比同比</t>
  </si>
  <si>
    <t>202502
一年以上应收</t>
  </si>
  <si>
    <t>202602
一年以上应收</t>
  </si>
  <si>
    <t>一年以上同比增幅</t>
  </si>
  <si>
    <t>202502
一年以上占应收总额比</t>
  </si>
  <si>
    <t>202602
一年以上占应收总额比</t>
  </si>
  <si>
    <t>202502一年以上产数应收</t>
  </si>
  <si>
    <t>202602一年以上产数应收</t>
  </si>
  <si>
    <t>202602一年以上产数应收账款结构占比</t>
  </si>
  <si>
    <t>202602一年以上产数应收同比增幅</t>
  </si>
  <si>
    <t>202502
预收账款总额</t>
  </si>
  <si>
    <t>202602
预收账款总额</t>
  </si>
  <si>
    <t>同比增幅</t>
  </si>
  <si>
    <t>202502本年坏账计提</t>
  </si>
  <si>
    <t>202602本年坏账计提</t>
  </si>
  <si>
    <t>202502本年坏账计提占应收比</t>
  </si>
  <si>
    <t>202602本年坏账计提占应收比</t>
  </si>
  <si>
    <t>202502经营活动现金流入完成</t>
  </si>
  <si>
    <t>202602经营活动现金流入完成</t>
  </si>
  <si>
    <t>202502营业收现率</t>
  </si>
  <si>
    <t>202602营业收现率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</si>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</sst>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000_);_([$€-2]* \(#,##0.00000\);_([$€-2]* &quot;-&quot;??_)"/>
    <numFmt numFmtId="177" formatCode="_ * #,##0_ ;_ * \-#,##0_ ;_ * &quot;-&quot;??_ ;_ @_ "/>
    <numFmt numFmtId="178" formatCode="#,##0_ ;[Red]\-#,##0\ "/>
    <numFmt numFmtId="179" formatCode="#,##0_ "/>
    <numFmt numFmtId="180" formatCode="0_ "/>
    <numFmt numFmtId="181" formatCode="0.0%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176" fontId="29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49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0" fillId="0" borderId="0" xfId="49">
      <alignment vertical="center"/>
    </xf>
    <xf numFmtId="177" fontId="0" fillId="0" borderId="0" xfId="51" applyNumberFormat="1" applyFont="1">
      <alignment vertical="center"/>
    </xf>
    <xf numFmtId="0" fontId="2" fillId="2" borderId="1" xfId="49" applyFont="1" applyFill="1" applyBorder="1" applyAlignment="1">
      <alignment horizontal="center" vertical="center"/>
    </xf>
    <xf numFmtId="178" fontId="3" fillId="2" borderId="1" xfId="49" applyNumberFormat="1" applyFont="1" applyFill="1" applyBorder="1" applyAlignment="1">
      <alignment horizontal="center" vertical="center" wrapText="1"/>
    </xf>
    <xf numFmtId="178" fontId="3" fillId="2" borderId="2" xfId="49" applyNumberFormat="1" applyFont="1" applyFill="1" applyBorder="1" applyAlignment="1">
      <alignment horizontal="center" vertical="center" wrapText="1"/>
    </xf>
    <xf numFmtId="178" fontId="3" fillId="2" borderId="3" xfId="49" applyNumberFormat="1" applyFont="1" applyFill="1" applyBorder="1" applyAlignment="1">
      <alignment horizontal="center" vertical="center" wrapText="1"/>
    </xf>
    <xf numFmtId="178" fontId="3" fillId="2" borderId="4" xfId="49" applyNumberFormat="1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179" fontId="4" fillId="0" borderId="1" xfId="49" applyNumberFormat="1" applyFont="1" applyFill="1" applyBorder="1" applyAlignment="1">
      <alignment horizontal="center" vertical="center"/>
    </xf>
    <xf numFmtId="177" fontId="5" fillId="0" borderId="1" xfId="49" applyNumberFormat="1" applyFont="1" applyFill="1" applyBorder="1" applyAlignment="1">
      <alignment horizontal="center" vertical="center"/>
    </xf>
    <xf numFmtId="10" fontId="4" fillId="0" borderId="1" xfId="3" applyNumberFormat="1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179" fontId="6" fillId="0" borderId="1" xfId="49" applyNumberFormat="1" applyFont="1" applyFill="1" applyBorder="1" applyAlignment="1">
      <alignment horizontal="center" vertical="center"/>
    </xf>
    <xf numFmtId="179" fontId="6" fillId="0" borderId="1" xfId="49" applyNumberFormat="1" applyFont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/>
    </xf>
    <xf numFmtId="0" fontId="7" fillId="2" borderId="1" xfId="52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  <xf numFmtId="0" fontId="6" fillId="4" borderId="1" xfId="49" applyFont="1" applyFill="1" applyBorder="1" applyAlignment="1">
      <alignment horizontal="center" vertical="center" wrapText="1"/>
    </xf>
    <xf numFmtId="179" fontId="4" fillId="5" borderId="1" xfId="49" applyNumberFormat="1" applyFont="1" applyFill="1" applyBorder="1" applyAlignment="1">
      <alignment horizontal="center" vertical="center"/>
    </xf>
    <xf numFmtId="10" fontId="4" fillId="0" borderId="1" xfId="49" applyNumberFormat="1" applyFont="1" applyBorder="1" applyAlignment="1">
      <alignment horizontal="center" vertical="center"/>
    </xf>
    <xf numFmtId="177" fontId="4" fillId="0" borderId="1" xfId="50" applyNumberFormat="1" applyFont="1" applyBorder="1" applyAlignment="1">
      <alignment horizontal="center" vertical="center"/>
    </xf>
    <xf numFmtId="10" fontId="6" fillId="0" borderId="1" xfId="49" applyNumberFormat="1" applyFont="1" applyBorder="1" applyAlignment="1">
      <alignment horizontal="center" vertical="center"/>
    </xf>
    <xf numFmtId="177" fontId="8" fillId="2" borderId="2" xfId="51" applyNumberFormat="1" applyFont="1" applyFill="1" applyBorder="1" applyAlignment="1">
      <alignment horizontal="center" vertical="center" wrapText="1"/>
    </xf>
    <xf numFmtId="177" fontId="8" fillId="2" borderId="3" xfId="51" applyNumberFormat="1" applyFont="1" applyFill="1" applyBorder="1" applyAlignment="1">
      <alignment horizontal="center" vertical="center"/>
    </xf>
    <xf numFmtId="177" fontId="4" fillId="5" borderId="1" xfId="51" applyNumberFormat="1" applyFont="1" applyFill="1" applyBorder="1" applyAlignment="1">
      <alignment horizontal="center" vertical="center"/>
    </xf>
    <xf numFmtId="10" fontId="6" fillId="6" borderId="1" xfId="49" applyNumberFormat="1" applyFont="1" applyFill="1" applyBorder="1" applyAlignment="1">
      <alignment horizontal="center" vertical="center"/>
    </xf>
    <xf numFmtId="180" fontId="6" fillId="0" borderId="1" xfId="49" applyNumberFormat="1" applyFont="1" applyBorder="1" applyAlignment="1">
      <alignment horizontal="center" vertical="center"/>
    </xf>
    <xf numFmtId="177" fontId="8" fillId="2" borderId="4" xfId="51" applyNumberFormat="1" applyFont="1" applyFill="1" applyBorder="1" applyAlignment="1">
      <alignment horizontal="center" vertical="center"/>
    </xf>
    <xf numFmtId="177" fontId="4" fillId="2" borderId="5" xfId="51" applyNumberFormat="1" applyFont="1" applyFill="1" applyBorder="1" applyAlignment="1">
      <alignment horizontal="center" vertical="center" wrapText="1"/>
    </xf>
    <xf numFmtId="0" fontId="4" fillId="2" borderId="5" xfId="49" applyFont="1" applyFill="1" applyBorder="1" applyAlignment="1">
      <alignment horizontal="center" vertical="center" wrapText="1"/>
    </xf>
    <xf numFmtId="177" fontId="4" fillId="2" borderId="6" xfId="51" applyNumberFormat="1" applyFont="1" applyFill="1" applyBorder="1" applyAlignment="1">
      <alignment horizontal="center" vertical="center" wrapText="1"/>
    </xf>
    <xf numFmtId="0" fontId="4" fillId="2" borderId="6" xfId="49" applyFont="1" applyFill="1" applyBorder="1" applyAlignment="1">
      <alignment horizontal="center" vertical="center" wrapText="1"/>
    </xf>
    <xf numFmtId="177" fontId="4" fillId="0" borderId="1" xfId="51" applyNumberFormat="1" applyFont="1" applyFill="1" applyBorder="1" applyAlignment="1">
      <alignment horizontal="center" vertical="center"/>
    </xf>
    <xf numFmtId="180" fontId="4" fillId="5" borderId="1" xfId="49" applyNumberFormat="1" applyFont="1" applyFill="1" applyBorder="1" applyAlignment="1">
      <alignment horizontal="center" vertical="center"/>
    </xf>
    <xf numFmtId="3" fontId="0" fillId="0" borderId="0" xfId="49" applyNumberFormat="1">
      <alignment vertical="center"/>
    </xf>
    <xf numFmtId="0" fontId="7" fillId="2" borderId="2" xfId="49" applyFont="1" applyFill="1" applyBorder="1" applyAlignment="1">
      <alignment horizontal="center" vertical="center"/>
    </xf>
    <xf numFmtId="0" fontId="7" fillId="2" borderId="3" xfId="49" applyFont="1" applyFill="1" applyBorder="1" applyAlignment="1">
      <alignment horizontal="center" vertical="center"/>
    </xf>
    <xf numFmtId="0" fontId="7" fillId="2" borderId="4" xfId="49" applyFont="1" applyFill="1" applyBorder="1" applyAlignment="1">
      <alignment horizontal="center" vertical="center"/>
    </xf>
    <xf numFmtId="0" fontId="7" fillId="2" borderId="2" xfId="52" applyFont="1" applyFill="1" applyBorder="1" applyAlignment="1">
      <alignment horizontal="center" vertical="center"/>
    </xf>
    <xf numFmtId="0" fontId="7" fillId="2" borderId="3" xfId="52" applyFont="1" applyFill="1" applyBorder="1" applyAlignment="1">
      <alignment horizontal="center" vertical="center"/>
    </xf>
    <xf numFmtId="177" fontId="5" fillId="5" borderId="1" xfId="49" applyNumberFormat="1" applyFont="1" applyFill="1" applyBorder="1" applyAlignment="1">
      <alignment horizontal="center" vertical="center"/>
    </xf>
    <xf numFmtId="181" fontId="5" fillId="0" borderId="1" xfId="3" applyNumberFormat="1" applyFont="1" applyFill="1" applyBorder="1" applyAlignment="1">
      <alignment horizontal="center" vertical="center"/>
    </xf>
    <xf numFmtId="177" fontId="5" fillId="0" borderId="1" xfId="50" applyNumberFormat="1" applyFont="1" applyFill="1" applyBorder="1" applyAlignment="1">
      <alignment horizontal="center" vertical="center"/>
    </xf>
    <xf numFmtId="177" fontId="9" fillId="0" borderId="1" xfId="49" applyNumberFormat="1" applyFont="1" applyBorder="1" applyAlignment="1">
      <alignment horizontal="center" vertical="center"/>
    </xf>
    <xf numFmtId="181" fontId="9" fillId="0" borderId="1" xfId="3" applyNumberFormat="1" applyFont="1" applyFill="1" applyBorder="1" applyAlignment="1">
      <alignment horizontal="center" vertical="center"/>
    </xf>
    <xf numFmtId="0" fontId="7" fillId="2" borderId="4" xfId="52" applyFont="1" applyFill="1" applyBorder="1" applyAlignment="1">
      <alignment horizontal="center" vertical="center"/>
    </xf>
    <xf numFmtId="0" fontId="4" fillId="2" borderId="1" xfId="52" applyFont="1" applyFill="1" applyBorder="1" applyAlignment="1">
      <alignment horizontal="center" vertical="center" wrapText="1"/>
    </xf>
    <xf numFmtId="181" fontId="5" fillId="0" borderId="1" xfId="3" applyNumberFormat="1" applyFont="1" applyBorder="1" applyAlignment="1">
      <alignment horizontal="center" vertical="center"/>
    </xf>
    <xf numFmtId="177" fontId="5" fillId="0" borderId="1" xfId="50" applyNumberFormat="1" applyFont="1" applyBorder="1" applyAlignment="1">
      <alignment vertical="center"/>
    </xf>
    <xf numFmtId="181" fontId="9" fillId="0" borderId="1" xfId="3" applyNumberFormat="1" applyFont="1" applyBorder="1" applyAlignment="1">
      <alignment horizontal="center" vertical="center"/>
    </xf>
    <xf numFmtId="176" fontId="4" fillId="7" borderId="1" xfId="53" applyFont="1" applyFill="1" applyBorder="1" applyAlignment="1">
      <alignment horizontal="center" vertical="center" wrapText="1"/>
    </xf>
    <xf numFmtId="177" fontId="4" fillId="5" borderId="1" xfId="50" applyNumberFormat="1" applyFont="1" applyFill="1" applyBorder="1" applyAlignment="1">
      <alignment horizontal="center" vertical="center"/>
    </xf>
    <xf numFmtId="177" fontId="5" fillId="5" borderId="1" xfId="50" applyNumberFormat="1" applyFont="1" applyFill="1" applyBorder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77" fontId="5" fillId="0" borderId="1" xfId="51" applyNumberFormat="1" applyFont="1" applyBorder="1" applyAlignment="1">
      <alignment horizontal="center" vertical="center"/>
    </xf>
    <xf numFmtId="177" fontId="9" fillId="0" borderId="1" xfId="50" applyNumberFormat="1" applyFont="1" applyBorder="1" applyAlignment="1">
      <alignment horizontal="center" vertical="center"/>
    </xf>
    <xf numFmtId="9" fontId="9" fillId="0" borderId="1" xfId="3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千位分隔 2" xfId="50"/>
    <cellStyle name="千位分隔 3" xfId="51"/>
    <cellStyle name="常规 5" xfId="52"/>
    <cellStyle name="常规 4 3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1&#26376;&#36164;&#37329;&#36890;&#25253;\1&#12289;&#31185;&#30446;&#20313;&#39069;&#34920;\2025&#24180;11&#26376;&#31185;&#30446;&#20313;&#3906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4180;2&#26376;&#31185;&#30446;&#20313;&#39069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6597;&#35810;&#32467;&#26524;(2026&#24180;2&#26376;)-&#24212;&#25910;&#36134;&#2745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2&#26376;&#31185;&#30446;&#20313;&#39069;&#3492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26597;&#35810;&#32467;&#26524;(2025&#24180;2&#26376;)-&#24212;&#25910;&#36134;&#2745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2&#26376;&#36164;&#37329;&#36890;&#25253;\&#38271;&#36134;&#40836;\&#26597;&#35810;&#32467;&#26524;(2025&#24180;2&#26376;)-&#20135;&#25968;&#24212;&#2591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2&#26376;&#36164;&#37329;&#36890;&#25253;\&#38271;&#36134;&#40836;\&#26597;&#35810;&#32467;&#26524;(2026&#24180;2&#26376;)-&#20135;&#25968;&#24212;&#2591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2&#26376;&#36164;&#37329;&#36890;&#25253;\&#33829;&#19994;&#25910;&#29616;&#29575;\&#38598;&#22242;&#22806;&#33829;&#19994;&#25910;&#29616;&#29575;-2025.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2&#26376;&#36164;&#37329;&#36890;&#25253;\&#33829;&#19994;&#25910;&#29616;&#29575;\&#38598;&#22242;&#22806;&#33829;&#19994;&#25910;&#29616;&#29575;-2026.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  <sheetName val="Sheet6"/>
      <sheetName val="坏账表"/>
      <sheetName val="Sheet2"/>
      <sheetName val="分ICT资源型数据"/>
      <sheetName val="11月收入报表(每月导入）"/>
      <sheetName val="202511科目余额表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IDC业务款</v>
          </cell>
          <cell r="D1" t="str">
            <v>数字平台及集成业务款</v>
          </cell>
          <cell r="E1" t="str">
            <v>组网专线业务款</v>
          </cell>
          <cell r="F1" t="str">
            <v>其他</v>
          </cell>
          <cell r="G1" t="str">
            <v>合同资产</v>
          </cell>
          <cell r="H1" t="str">
            <v>产数ICT应收账款总额</v>
          </cell>
          <cell r="I1" t="str">
            <v>资源型应收账款总额</v>
          </cell>
          <cell r="J1" t="str">
            <v>组网专线 本年累计数</v>
          </cell>
          <cell r="K1" t="str">
            <v>IDC 本年累计数</v>
          </cell>
          <cell r="L1" t="str">
            <v>资源型收入</v>
          </cell>
          <cell r="M1" t="str">
            <v>产数ICT收入</v>
          </cell>
          <cell r="N1" t="str">
            <v>当月产数收入总额 </v>
          </cell>
          <cell r="O1" t="str">
            <v>202511资源型应收占收比</v>
          </cell>
          <cell r="P1" t="str">
            <v>202511产数ICT应收占收比</v>
          </cell>
        </row>
        <row r="2">
          <cell r="B2" t="str">
            <v>省公司本部</v>
          </cell>
          <cell r="C2">
            <v>33098.371368</v>
          </cell>
          <cell r="D2">
            <v>2677.68243</v>
          </cell>
          <cell r="E2">
            <v>3493.712989</v>
          </cell>
          <cell r="F2">
            <v>185.045</v>
          </cell>
          <cell r="G2">
            <v>0</v>
          </cell>
          <cell r="H2">
            <v>2862.72743</v>
          </cell>
          <cell r="I2">
            <v>36592.084357</v>
          </cell>
          <cell r="J2">
            <v>-1097.454318</v>
          </cell>
          <cell r="K2">
            <v>11422.768136</v>
          </cell>
          <cell r="L2">
            <v>-988.758750999981</v>
          </cell>
          <cell r="M2">
            <v>353.08806</v>
          </cell>
          <cell r="N2">
            <v>10678.401878</v>
          </cell>
          <cell r="O2">
            <v>-33.9240931723671</v>
          </cell>
          <cell r="P2">
            <v>7.43204630265134</v>
          </cell>
        </row>
        <row r="3">
          <cell r="B3" t="str">
            <v>成都</v>
          </cell>
          <cell r="C3">
            <v>-28.780379</v>
          </cell>
          <cell r="D3">
            <v>43322.21398</v>
          </cell>
          <cell r="E3">
            <v>8283.5509</v>
          </cell>
          <cell r="F3">
            <v>8500.325198</v>
          </cell>
          <cell r="G3">
            <v>8210.354902</v>
          </cell>
          <cell r="H3">
            <v>60032.89408</v>
          </cell>
          <cell r="I3">
            <v>8254.770521</v>
          </cell>
          <cell r="J3">
            <v>54396.464216</v>
          </cell>
          <cell r="K3">
            <v>75446.903153</v>
          </cell>
          <cell r="L3">
            <v>68355.35162</v>
          </cell>
          <cell r="M3">
            <v>107234.609116</v>
          </cell>
          <cell r="N3">
            <v>237077.976485</v>
          </cell>
          <cell r="O3">
            <v>0.110699057180614</v>
          </cell>
          <cell r="P3">
            <v>0.51317530189473</v>
          </cell>
        </row>
        <row r="4">
          <cell r="B4" t="str">
            <v>自贡</v>
          </cell>
          <cell r="C4">
            <v>4.765176</v>
          </cell>
          <cell r="D4">
            <v>4658.500189</v>
          </cell>
          <cell r="E4">
            <v>681.303859</v>
          </cell>
          <cell r="F4">
            <v>200.670535</v>
          </cell>
          <cell r="G4">
            <v>1973.548941</v>
          </cell>
          <cell r="H4">
            <v>6832.719665</v>
          </cell>
          <cell r="I4">
            <v>686.069035</v>
          </cell>
          <cell r="J4">
            <v>4043.505633</v>
          </cell>
          <cell r="K4">
            <v>460.337149</v>
          </cell>
          <cell r="L4">
            <v>4055.276697</v>
          </cell>
          <cell r="M4">
            <v>8593.334145</v>
          </cell>
          <cell r="N4">
            <v>13097.176927</v>
          </cell>
          <cell r="O4">
            <v>0.155081061640482</v>
          </cell>
          <cell r="P4">
            <v>0.728858700697404</v>
          </cell>
        </row>
        <row r="5">
          <cell r="B5" t="str">
            <v>攀枝花</v>
          </cell>
          <cell r="C5">
            <v>17.401826</v>
          </cell>
          <cell r="D5">
            <v>1198.764435</v>
          </cell>
          <cell r="E5">
            <v>712.774959</v>
          </cell>
          <cell r="F5">
            <v>131.178861</v>
          </cell>
          <cell r="G5">
            <v>622.896318</v>
          </cell>
          <cell r="H5">
            <v>1952.839614</v>
          </cell>
          <cell r="I5">
            <v>730.176785</v>
          </cell>
          <cell r="J5">
            <v>1852.667997</v>
          </cell>
          <cell r="K5">
            <v>303.831753</v>
          </cell>
          <cell r="L5">
            <v>1936.283653</v>
          </cell>
          <cell r="M5">
            <v>3160.695106</v>
          </cell>
          <cell r="N5">
            <v>5317.194856</v>
          </cell>
          <cell r="O5">
            <v>0.345676997554724</v>
          </cell>
          <cell r="P5">
            <v>0.5663637014851</v>
          </cell>
        </row>
        <row r="6">
          <cell r="B6" t="str">
            <v>泸州</v>
          </cell>
          <cell r="C6">
            <v>355.599879</v>
          </cell>
          <cell r="D6">
            <v>4936.33334</v>
          </cell>
          <cell r="E6">
            <v>1576.14406</v>
          </cell>
          <cell r="F6">
            <v>913.194282</v>
          </cell>
          <cell r="G6">
            <v>1799.66525</v>
          </cell>
          <cell r="H6">
            <v>7649.192872</v>
          </cell>
          <cell r="I6">
            <v>1931.743939</v>
          </cell>
          <cell r="J6">
            <v>4383.081982</v>
          </cell>
          <cell r="K6">
            <v>1048.018242</v>
          </cell>
          <cell r="L6">
            <v>4667.584299</v>
          </cell>
          <cell r="M6">
            <v>9556.183181</v>
          </cell>
          <cell r="N6">
            <v>14987.283405</v>
          </cell>
          <cell r="O6">
            <v>0.37937510369037</v>
          </cell>
          <cell r="P6">
            <v>0.733740657735375</v>
          </cell>
        </row>
        <row r="7">
          <cell r="B7" t="str">
            <v>德阳</v>
          </cell>
          <cell r="C7">
            <v>1014.241689</v>
          </cell>
          <cell r="D7">
            <v>7410.079483</v>
          </cell>
          <cell r="E7">
            <v>1659.751116</v>
          </cell>
          <cell r="F7">
            <v>462.213668</v>
          </cell>
          <cell r="G7">
            <v>519</v>
          </cell>
          <cell r="H7">
            <v>8391.293151</v>
          </cell>
          <cell r="I7">
            <v>2673.992805</v>
          </cell>
          <cell r="J7">
            <v>4631.749159</v>
          </cell>
          <cell r="K7">
            <v>4295.311293</v>
          </cell>
          <cell r="L7">
            <v>6173.375624</v>
          </cell>
          <cell r="M7">
            <v>8441.601857</v>
          </cell>
          <cell r="N7">
            <v>17368.662309</v>
          </cell>
          <cell r="O7">
            <v>0.397053447018632</v>
          </cell>
          <cell r="P7">
            <v>0.911203685278236</v>
          </cell>
        </row>
        <row r="8">
          <cell r="B8" t="str">
            <v>绵阳</v>
          </cell>
          <cell r="C8">
            <v>244.371805</v>
          </cell>
          <cell r="D8">
            <v>5300.723217</v>
          </cell>
          <cell r="E8">
            <v>1287.912314</v>
          </cell>
          <cell r="F8">
            <v>787.802216</v>
          </cell>
          <cell r="G8">
            <v>482</v>
          </cell>
          <cell r="H8">
            <v>6570.525433</v>
          </cell>
          <cell r="I8">
            <v>1532.284119</v>
          </cell>
          <cell r="J8">
            <v>6452.125496</v>
          </cell>
          <cell r="K8">
            <v>2409.00732</v>
          </cell>
          <cell r="L8">
            <v>7341.013965</v>
          </cell>
          <cell r="M8">
            <v>10540.179972</v>
          </cell>
          <cell r="N8">
            <v>19401.312788</v>
          </cell>
          <cell r="O8">
            <v>0.191335118342879</v>
          </cell>
          <cell r="P8">
            <v>0.571430626698664</v>
          </cell>
        </row>
        <row r="9">
          <cell r="B9" t="str">
            <v>广元</v>
          </cell>
          <cell r="C9">
            <v>79.447963</v>
          </cell>
          <cell r="D9">
            <v>3866.658412</v>
          </cell>
          <cell r="E9">
            <v>851.744984</v>
          </cell>
          <cell r="F9">
            <v>118.247935</v>
          </cell>
          <cell r="G9">
            <v>342.1</v>
          </cell>
          <cell r="H9">
            <v>4327.006347</v>
          </cell>
          <cell r="I9">
            <v>931.192947</v>
          </cell>
          <cell r="J9">
            <v>3564.787422</v>
          </cell>
          <cell r="K9">
            <v>622.342381</v>
          </cell>
          <cell r="L9">
            <v>3845.599936</v>
          </cell>
          <cell r="M9">
            <v>6225.605798</v>
          </cell>
          <cell r="N9">
            <v>10412.735601</v>
          </cell>
          <cell r="O9">
            <v>0.221966285873685</v>
          </cell>
          <cell r="P9">
            <v>0.637114300751941</v>
          </cell>
        </row>
        <row r="10">
          <cell r="B10" t="str">
            <v>遂宁</v>
          </cell>
          <cell r="C10">
            <v>199.573952</v>
          </cell>
          <cell r="D10">
            <v>3684.916839</v>
          </cell>
          <cell r="E10">
            <v>714.351744</v>
          </cell>
          <cell r="F10">
            <v>161.26601</v>
          </cell>
          <cell r="G10">
            <v>12</v>
          </cell>
          <cell r="H10">
            <v>3858.182849</v>
          </cell>
          <cell r="I10">
            <v>913.925696</v>
          </cell>
          <cell r="J10">
            <v>2966.422619</v>
          </cell>
          <cell r="K10">
            <v>764.974801</v>
          </cell>
          <cell r="L10">
            <v>3272.831255</v>
          </cell>
          <cell r="M10">
            <v>4321.330204</v>
          </cell>
          <cell r="N10">
            <v>8052.727624</v>
          </cell>
          <cell r="O10">
            <v>0.25597568467774</v>
          </cell>
          <cell r="P10">
            <v>0.818421051996825</v>
          </cell>
        </row>
        <row r="11">
          <cell r="B11" t="str">
            <v>内江</v>
          </cell>
          <cell r="C11">
            <v>6.805582</v>
          </cell>
          <cell r="D11">
            <v>2364.61524</v>
          </cell>
          <cell r="E11">
            <v>753.053781</v>
          </cell>
          <cell r="F11">
            <v>128.147768</v>
          </cell>
          <cell r="G11">
            <v>1634.6326</v>
          </cell>
          <cell r="H11">
            <v>4127.395608</v>
          </cell>
          <cell r="I11">
            <v>759.859363</v>
          </cell>
          <cell r="J11">
            <v>2913.813328</v>
          </cell>
          <cell r="K11">
            <v>519.677955</v>
          </cell>
          <cell r="L11">
            <v>2930.543429</v>
          </cell>
          <cell r="M11">
            <v>5194.150831</v>
          </cell>
          <cell r="N11">
            <v>8627.642114</v>
          </cell>
          <cell r="O11">
            <v>0.237682111284851</v>
          </cell>
          <cell r="P11">
            <v>0.728405103567544</v>
          </cell>
        </row>
        <row r="12">
          <cell r="B12" t="str">
            <v>乐山</v>
          </cell>
          <cell r="C12">
            <v>148.406278</v>
          </cell>
          <cell r="D12">
            <v>8691.866568</v>
          </cell>
          <cell r="E12">
            <v>814.246685</v>
          </cell>
          <cell r="F12">
            <v>592.965905</v>
          </cell>
          <cell r="G12">
            <v>1071.391182</v>
          </cell>
          <cell r="H12">
            <v>10356.223655</v>
          </cell>
          <cell r="I12">
            <v>962.652963</v>
          </cell>
          <cell r="J12">
            <v>4874.786153</v>
          </cell>
          <cell r="K12">
            <v>933.648307</v>
          </cell>
          <cell r="L12">
            <v>5076.341213</v>
          </cell>
          <cell r="M12">
            <v>9917.685995</v>
          </cell>
          <cell r="N12">
            <v>15726.120455</v>
          </cell>
          <cell r="O12">
            <v>0.173832263380992</v>
          </cell>
          <cell r="P12">
            <v>0.957199594932661</v>
          </cell>
        </row>
        <row r="13">
          <cell r="B13" t="str">
            <v>南充</v>
          </cell>
          <cell r="C13">
            <v>44.846675</v>
          </cell>
          <cell r="D13">
            <v>8216.642456</v>
          </cell>
          <cell r="E13">
            <v>900.838688</v>
          </cell>
          <cell r="F13">
            <v>302.993776</v>
          </cell>
          <cell r="G13">
            <v>300.162835</v>
          </cell>
          <cell r="H13">
            <v>8819.799067</v>
          </cell>
          <cell r="I13">
            <v>945.685363</v>
          </cell>
          <cell r="J13">
            <v>4588.8994</v>
          </cell>
          <cell r="K13">
            <v>1118.834859</v>
          </cell>
          <cell r="L13">
            <v>4709.5539</v>
          </cell>
          <cell r="M13">
            <v>9514.67531</v>
          </cell>
          <cell r="N13">
            <v>15222.409569</v>
          </cell>
          <cell r="O13">
            <v>0.184068017443577</v>
          </cell>
          <cell r="P13">
            <v>0.849720620830798</v>
          </cell>
        </row>
        <row r="14">
          <cell r="B14" t="str">
            <v>眉山</v>
          </cell>
          <cell r="C14">
            <v>58.177877</v>
          </cell>
          <cell r="D14">
            <v>3577.335295</v>
          </cell>
          <cell r="E14">
            <v>937.008362</v>
          </cell>
          <cell r="F14">
            <v>443.883734</v>
          </cell>
          <cell r="G14">
            <v>985.897191</v>
          </cell>
          <cell r="H14">
            <v>5007.11622</v>
          </cell>
          <cell r="I14">
            <v>995.186239</v>
          </cell>
          <cell r="J14">
            <v>4220.528688</v>
          </cell>
          <cell r="K14">
            <v>424.105135</v>
          </cell>
          <cell r="L14">
            <v>4509.306308</v>
          </cell>
          <cell r="M14">
            <v>11160.163434</v>
          </cell>
          <cell r="N14">
            <v>15804.797257</v>
          </cell>
          <cell r="O14">
            <v>0.20230474270471</v>
          </cell>
          <cell r="P14">
            <v>0.411271444378383</v>
          </cell>
        </row>
        <row r="15">
          <cell r="B15" t="str">
            <v>宜宾</v>
          </cell>
          <cell r="C15">
            <v>82.297225</v>
          </cell>
          <cell r="D15">
            <v>7036.166364</v>
          </cell>
          <cell r="E15">
            <v>1745.309432</v>
          </cell>
          <cell r="F15">
            <v>428.192885</v>
          </cell>
          <cell r="G15">
            <v>422.226831</v>
          </cell>
          <cell r="H15">
            <v>7886.58608</v>
          </cell>
          <cell r="I15">
            <v>1827.606657</v>
          </cell>
          <cell r="J15">
            <v>4695.62905</v>
          </cell>
          <cell r="K15">
            <v>10865.430399</v>
          </cell>
          <cell r="L15">
            <v>14290.47638</v>
          </cell>
          <cell r="M15">
            <v>10162.644729</v>
          </cell>
          <cell r="N15">
            <v>25723.704178</v>
          </cell>
          <cell r="O15">
            <v>0.117232348152833</v>
          </cell>
          <cell r="P15">
            <v>0.71136704727104</v>
          </cell>
        </row>
        <row r="16">
          <cell r="B16" t="str">
            <v>广安</v>
          </cell>
          <cell r="C16">
            <v>15.444269</v>
          </cell>
          <cell r="D16">
            <v>4463.713627</v>
          </cell>
          <cell r="E16">
            <v>1515.034385</v>
          </cell>
          <cell r="F16">
            <v>406.053886</v>
          </cell>
          <cell r="G16">
            <v>49.967942</v>
          </cell>
          <cell r="H16">
            <v>4919.735455</v>
          </cell>
          <cell r="I16">
            <v>1530.478654</v>
          </cell>
          <cell r="J16">
            <v>3604.191864</v>
          </cell>
          <cell r="K16">
            <v>583.123724</v>
          </cell>
          <cell r="L16">
            <v>3714.049762</v>
          </cell>
          <cell r="M16">
            <v>7157.830452</v>
          </cell>
          <cell r="N16">
            <v>11345.14604</v>
          </cell>
          <cell r="O16">
            <v>0.377738279255362</v>
          </cell>
          <cell r="P16">
            <v>0.630045309211896</v>
          </cell>
        </row>
        <row r="17">
          <cell r="B17" t="str">
            <v>达州</v>
          </cell>
          <cell r="C17">
            <v>85.511954</v>
          </cell>
          <cell r="D17">
            <v>2222.214335</v>
          </cell>
          <cell r="E17">
            <v>1371.609129</v>
          </cell>
          <cell r="F17">
            <v>505.631631</v>
          </cell>
          <cell r="G17">
            <v>2246.7506</v>
          </cell>
          <cell r="H17">
            <v>4974.596566</v>
          </cell>
          <cell r="I17">
            <v>1457.121083</v>
          </cell>
          <cell r="J17">
            <v>5231.873556</v>
          </cell>
          <cell r="K17">
            <v>644.668686</v>
          </cell>
          <cell r="L17">
            <v>5255.201062</v>
          </cell>
          <cell r="M17">
            <v>6252.907641</v>
          </cell>
          <cell r="N17">
            <v>12129.449883</v>
          </cell>
          <cell r="O17">
            <v>0.254166169919101</v>
          </cell>
          <cell r="P17">
            <v>0.729268224316424</v>
          </cell>
        </row>
        <row r="18">
          <cell r="B18" t="str">
            <v>雅安</v>
          </cell>
          <cell r="C18">
            <v>657.264983</v>
          </cell>
          <cell r="D18">
            <v>1004.212346</v>
          </cell>
          <cell r="E18">
            <v>586.356349</v>
          </cell>
          <cell r="F18">
            <v>122.645705</v>
          </cell>
          <cell r="G18">
            <v>311.245369</v>
          </cell>
          <cell r="H18">
            <v>1438.10342</v>
          </cell>
          <cell r="I18">
            <v>1243.621332</v>
          </cell>
          <cell r="J18">
            <v>3095.411155</v>
          </cell>
          <cell r="K18">
            <v>7479.61863</v>
          </cell>
          <cell r="L18">
            <v>7065.961656</v>
          </cell>
          <cell r="M18">
            <v>6035.403786</v>
          </cell>
          <cell r="N18">
            <v>16610.433571</v>
          </cell>
          <cell r="O18">
            <v>0.161334900541385</v>
          </cell>
          <cell r="P18">
            <v>0.218421420517254</v>
          </cell>
        </row>
        <row r="19">
          <cell r="B19" t="str">
            <v>巴中</v>
          </cell>
          <cell r="C19">
            <v>79.580092</v>
          </cell>
          <cell r="D19">
            <v>6436.052887</v>
          </cell>
          <cell r="E19">
            <v>1169.039857</v>
          </cell>
          <cell r="F19">
            <v>1009.920635</v>
          </cell>
          <cell r="G19">
            <v>1925.100527</v>
          </cell>
          <cell r="H19">
            <v>9371.074049</v>
          </cell>
          <cell r="I19">
            <v>1248.619949</v>
          </cell>
          <cell r="J19">
            <v>2193.939088</v>
          </cell>
          <cell r="K19">
            <v>359.814769</v>
          </cell>
          <cell r="L19">
            <v>2237.238805</v>
          </cell>
          <cell r="M19">
            <v>6966.172164</v>
          </cell>
          <cell r="N19">
            <v>9519.926021</v>
          </cell>
          <cell r="O19">
            <v>0.511598620596666</v>
          </cell>
          <cell r="P19">
            <v>1.23312358772523</v>
          </cell>
        </row>
        <row r="20">
          <cell r="B20" t="str">
            <v>资阳</v>
          </cell>
          <cell r="C20">
            <v>2.243247</v>
          </cell>
          <cell r="D20">
            <v>3265.850031</v>
          </cell>
          <cell r="E20">
            <v>420.302722</v>
          </cell>
          <cell r="F20">
            <v>231.24696</v>
          </cell>
          <cell r="G20">
            <v>0</v>
          </cell>
          <cell r="H20">
            <v>3497.096991</v>
          </cell>
          <cell r="I20">
            <v>422.545969</v>
          </cell>
          <cell r="J20">
            <v>1804.450059</v>
          </cell>
          <cell r="K20">
            <v>-2.169177</v>
          </cell>
          <cell r="L20">
            <v>1777.031888</v>
          </cell>
          <cell r="M20">
            <v>3758.430747</v>
          </cell>
          <cell r="N20">
            <v>5560.711629</v>
          </cell>
          <cell r="O20">
            <v>0.217966716034905</v>
          </cell>
          <cell r="P20">
            <v>0.852928378235726</v>
          </cell>
        </row>
        <row r="21">
          <cell r="B21" t="str">
            <v>阿坝</v>
          </cell>
          <cell r="C21">
            <v>13.97289</v>
          </cell>
          <cell r="D21">
            <v>1583.649244</v>
          </cell>
          <cell r="E21">
            <v>1609.396836</v>
          </cell>
          <cell r="F21">
            <v>121.237722</v>
          </cell>
          <cell r="G21">
            <v>382.92</v>
          </cell>
          <cell r="H21">
            <v>2087.806966</v>
          </cell>
          <cell r="I21">
            <v>1623.369726</v>
          </cell>
          <cell r="J21">
            <v>4735.437647</v>
          </cell>
          <cell r="K21">
            <v>221.641344</v>
          </cell>
          <cell r="L21">
            <v>4799.487616</v>
          </cell>
          <cell r="M21">
            <v>3645.945901</v>
          </cell>
          <cell r="N21">
            <v>8603.024892</v>
          </cell>
          <cell r="O21">
            <v>0.310051621039541</v>
          </cell>
          <cell r="P21">
            <v>0.524918115664237</v>
          </cell>
        </row>
        <row r="22">
          <cell r="B22" t="str">
            <v>甘孜</v>
          </cell>
          <cell r="C22">
            <v>4.04235</v>
          </cell>
          <cell r="D22">
            <v>1322.36416</v>
          </cell>
          <cell r="E22">
            <v>4116.274823</v>
          </cell>
          <cell r="F22">
            <v>134.44549</v>
          </cell>
          <cell r="G22">
            <v>1048.769125</v>
          </cell>
          <cell r="H22">
            <v>2505.578775</v>
          </cell>
          <cell r="I22">
            <v>4120.317173</v>
          </cell>
          <cell r="J22">
            <v>7065.137181</v>
          </cell>
          <cell r="K22">
            <v>454.325058</v>
          </cell>
          <cell r="L22">
            <v>7148.104486</v>
          </cell>
          <cell r="M22">
            <v>6615.086508</v>
          </cell>
          <cell r="N22">
            <v>14134.548747</v>
          </cell>
          <cell r="O22">
            <v>0.528385870125533</v>
          </cell>
          <cell r="P22">
            <v>0.347203402551482</v>
          </cell>
        </row>
        <row r="23">
          <cell r="B23" t="str">
            <v>凉山</v>
          </cell>
          <cell r="C23">
            <v>11.472868</v>
          </cell>
          <cell r="D23">
            <v>7416.384038</v>
          </cell>
          <cell r="E23">
            <v>2702.085584</v>
          </cell>
          <cell r="F23">
            <v>313.372903</v>
          </cell>
          <cell r="G23">
            <v>342.3</v>
          </cell>
          <cell r="H23">
            <v>8072.056941</v>
          </cell>
          <cell r="I23">
            <v>2713.558452</v>
          </cell>
          <cell r="J23">
            <v>8153.524624</v>
          </cell>
          <cell r="K23">
            <v>695.734829</v>
          </cell>
          <cell r="L23">
            <v>8210.713034</v>
          </cell>
          <cell r="M23">
            <v>11679.423886</v>
          </cell>
          <cell r="N23">
            <v>20528.683339</v>
          </cell>
          <cell r="O23">
            <v>0.302949155657947</v>
          </cell>
          <cell r="P23">
            <v>0.633540284304568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</sheetNames>
    <sheetDataSet>
      <sheetData sheetId="0"/>
      <sheetData sheetId="1">
        <row r="1">
          <cell r="C1" t="str">
            <v>应收账款</v>
          </cell>
          <cell r="D1" t="str">
            <v>应收票据</v>
          </cell>
          <cell r="E1" t="str">
            <v>合同资产</v>
          </cell>
          <cell r="F1" t="str">
            <v>合同资产.产业数字化业务</v>
          </cell>
        </row>
        <row r="1">
          <cell r="H1" t="str">
            <v>营业款结算</v>
          </cell>
          <cell r="I1" t="str">
            <v>坏账</v>
          </cell>
          <cell r="J1" t="str">
            <v>信用减值损失</v>
          </cell>
          <cell r="K1" t="str">
            <v>产数应收</v>
          </cell>
          <cell r="L1" t="str">
            <v>预收账款(取负号）</v>
          </cell>
          <cell r="M1" t="str">
            <v>合同负债（取负号）</v>
          </cell>
          <cell r="N1" t="str">
            <v>应收账款总额</v>
          </cell>
          <cell r="O1" t="str">
            <v>应收账款净额</v>
          </cell>
          <cell r="P1" t="str">
            <v>产数应收总额</v>
          </cell>
          <cell r="Q1" t="str">
            <v>基础应收</v>
          </cell>
          <cell r="R1" t="str">
            <v>预收账款</v>
          </cell>
          <cell r="S1" t="str">
            <v>资源型应收账款总额</v>
          </cell>
          <cell r="T1" t="str">
            <v>产数ICT应收账款总额</v>
          </cell>
          <cell r="U1" t="str">
            <v>校验项1</v>
          </cell>
          <cell r="V1" t="str">
            <v>校验项2</v>
          </cell>
        </row>
        <row r="1">
          <cell r="X1" t="str">
            <v>IDC业务款</v>
          </cell>
          <cell r="Y1" t="str">
            <v>数字平台及集成业务款</v>
          </cell>
          <cell r="Z1" t="str">
            <v>组网专线业务款</v>
          </cell>
          <cell r="AA1" t="str">
            <v>其他</v>
          </cell>
        </row>
        <row r="2">
          <cell r="C2" t="str">
            <v>1122*</v>
          </cell>
          <cell r="D2" t="str">
            <v>1121*</v>
          </cell>
          <cell r="E2" t="str">
            <v>1126*</v>
          </cell>
          <cell r="F2">
            <v>1126010000</v>
          </cell>
          <cell r="G2">
            <v>1126020000</v>
          </cell>
          <cell r="H2" t="str">
            <v>1124*</v>
          </cell>
          <cell r="I2" t="str">
            <v>1231*</v>
          </cell>
          <cell r="J2" t="str">
            <v>6702*</v>
          </cell>
          <cell r="K2" t="str">
            <v>112203*</v>
          </cell>
          <cell r="L2" t="str">
            <v>2203*</v>
          </cell>
          <cell r="M2" t="str">
            <v>2204*</v>
          </cell>
        </row>
        <row r="2">
          <cell r="S2" t="str">
            <v>资源型应收=组网专线+IDC</v>
          </cell>
          <cell r="T2" t="str">
            <v>ICT应收=产数应收+合同资产-资源应收</v>
          </cell>
        </row>
        <row r="2">
          <cell r="X2" t="str">
            <v>1122030100</v>
          </cell>
          <cell r="Y2" t="str">
            <v>1122030200</v>
          </cell>
          <cell r="Z2" t="str">
            <v>1122030300</v>
          </cell>
          <cell r="AA2" t="str">
            <v>1122039900</v>
          </cell>
        </row>
        <row r="3">
          <cell r="B3" t="str">
            <v>省公司本部</v>
          </cell>
          <cell r="C3">
            <v>59648.085269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-226.843558</v>
          </cell>
          <cell r="I3">
            <v>-7803.796528</v>
          </cell>
          <cell r="J3">
            <v>1311.84238</v>
          </cell>
          <cell r="K3">
            <v>39811.259585</v>
          </cell>
          <cell r="L3">
            <v>-1341.849098</v>
          </cell>
          <cell r="M3">
            <v>1213.397049</v>
          </cell>
          <cell r="N3">
            <v>59421.241711</v>
          </cell>
          <cell r="O3">
            <v>51844.288741</v>
          </cell>
          <cell r="P3">
            <v>39811.259585</v>
          </cell>
          <cell r="Q3">
            <v>19609.982126</v>
          </cell>
          <cell r="R3">
            <v>-128.452049</v>
          </cell>
          <cell r="S3">
            <v>37978.063502</v>
          </cell>
          <cell r="T3">
            <v>1833.196083</v>
          </cell>
          <cell r="U3">
            <v>0</v>
          </cell>
          <cell r="V3">
            <v>0</v>
          </cell>
          <cell r="W3" t="str">
            <v>省公司本部</v>
          </cell>
          <cell r="X3">
            <v>35044.093286</v>
          </cell>
          <cell r="Y3">
            <v>1794.131555</v>
          </cell>
          <cell r="Z3">
            <v>2933.970216</v>
          </cell>
          <cell r="AA3">
            <v>39.064528</v>
          </cell>
        </row>
        <row r="4">
          <cell r="B4" t="str">
            <v>成都</v>
          </cell>
          <cell r="C4">
            <v>77884.58469</v>
          </cell>
          <cell r="D4">
            <v>554.788883</v>
          </cell>
          <cell r="E4">
            <v>6311.118402</v>
          </cell>
          <cell r="F4">
            <v>6311.118402</v>
          </cell>
          <cell r="G4">
            <v>0</v>
          </cell>
          <cell r="H4">
            <v>-1673.245585</v>
          </cell>
          <cell r="I4">
            <v>-23306.338486</v>
          </cell>
          <cell r="J4">
            <v>1949.689312</v>
          </cell>
          <cell r="K4">
            <v>57621.169696</v>
          </cell>
          <cell r="L4">
            <v>98139.299614</v>
          </cell>
          <cell r="M4">
            <v>2159.179317</v>
          </cell>
          <cell r="N4">
            <v>82522.457507</v>
          </cell>
          <cell r="O4">
            <v>54578.246204</v>
          </cell>
          <cell r="P4">
            <v>63932.288098</v>
          </cell>
          <cell r="Q4">
            <v>18590.169409</v>
          </cell>
          <cell r="R4">
            <v>100298.478931</v>
          </cell>
          <cell r="S4">
            <v>10976.049698</v>
          </cell>
          <cell r="T4">
            <v>52956.2384</v>
          </cell>
          <cell r="U4">
            <v>0</v>
          </cell>
          <cell r="V4">
            <v>0</v>
          </cell>
          <cell r="W4" t="str">
            <v>成都</v>
          </cell>
          <cell r="X4">
            <v>2463.434875</v>
          </cell>
          <cell r="Y4">
            <v>35123.362052</v>
          </cell>
          <cell r="Z4">
            <v>8512.614823</v>
          </cell>
          <cell r="AA4">
            <v>11521.757946</v>
          </cell>
        </row>
        <row r="5">
          <cell r="B5" t="str">
            <v>天府新区分公司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天府新区分公司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B6" t="str">
            <v>自贡</v>
          </cell>
          <cell r="C6">
            <v>7212.211513</v>
          </cell>
          <cell r="D6">
            <v>0</v>
          </cell>
          <cell r="E6">
            <v>2079.608283</v>
          </cell>
          <cell r="F6">
            <v>2079.608283</v>
          </cell>
          <cell r="G6">
            <v>0</v>
          </cell>
          <cell r="H6">
            <v>-1429.508267</v>
          </cell>
          <cell r="I6">
            <v>-3218.231999</v>
          </cell>
          <cell r="J6">
            <v>236.938444</v>
          </cell>
          <cell r="K6">
            <v>4729.06987</v>
          </cell>
          <cell r="L6">
            <v>6821.682572</v>
          </cell>
          <cell r="M6">
            <v>567.112298</v>
          </cell>
          <cell r="N6">
            <v>7862.311529</v>
          </cell>
          <cell r="O6">
            <v>3993.979514</v>
          </cell>
          <cell r="P6">
            <v>6808.678153</v>
          </cell>
          <cell r="Q6">
            <v>1053.633376</v>
          </cell>
          <cell r="R6">
            <v>7388.79487</v>
          </cell>
          <cell r="S6">
            <v>310.850722</v>
          </cell>
          <cell r="T6">
            <v>6497.827431</v>
          </cell>
          <cell r="U6">
            <v>0</v>
          </cell>
          <cell r="V6">
            <v>0</v>
          </cell>
          <cell r="W6" t="str">
            <v>自贡</v>
          </cell>
          <cell r="X6">
            <v>7.658816</v>
          </cell>
          <cell r="Y6">
            <v>4120.515577</v>
          </cell>
          <cell r="Z6">
            <v>303.191906</v>
          </cell>
          <cell r="AA6">
            <v>297.703571</v>
          </cell>
        </row>
        <row r="7">
          <cell r="B7" t="str">
            <v>攀枝花</v>
          </cell>
          <cell r="C7">
            <v>4558.967556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42.293778</v>
          </cell>
          <cell r="I7">
            <v>-2006.552613</v>
          </cell>
          <cell r="J7">
            <v>213.574734</v>
          </cell>
          <cell r="K7">
            <v>2844.916375</v>
          </cell>
          <cell r="L7">
            <v>3412.75918</v>
          </cell>
          <cell r="M7">
            <v>37.655543</v>
          </cell>
          <cell r="N7">
            <v>4601.261334</v>
          </cell>
          <cell r="O7">
            <v>2552.414943</v>
          </cell>
          <cell r="P7">
            <v>2844.916375</v>
          </cell>
          <cell r="Q7">
            <v>1756.344959</v>
          </cell>
          <cell r="R7">
            <v>3450.414723</v>
          </cell>
          <cell r="S7">
            <v>688.257505</v>
          </cell>
          <cell r="T7">
            <v>2156.65887</v>
          </cell>
          <cell r="U7">
            <v>0</v>
          </cell>
          <cell r="V7">
            <v>0</v>
          </cell>
          <cell r="W7" t="str">
            <v>攀枝花</v>
          </cell>
          <cell r="X7">
            <v>23.607348</v>
          </cell>
          <cell r="Y7">
            <v>2007.303364</v>
          </cell>
          <cell r="Z7">
            <v>664.650157</v>
          </cell>
          <cell r="AA7">
            <v>149.355506</v>
          </cell>
        </row>
        <row r="8">
          <cell r="B8" t="str">
            <v>泸州</v>
          </cell>
          <cell r="C8">
            <v>15262.769452</v>
          </cell>
          <cell r="D8">
            <v>0</v>
          </cell>
          <cell r="E8">
            <v>448.512685</v>
          </cell>
          <cell r="F8">
            <v>0</v>
          </cell>
          <cell r="G8">
            <v>448.512685</v>
          </cell>
          <cell r="H8">
            <v>-2053.843871</v>
          </cell>
          <cell r="I8">
            <v>-4996.618272</v>
          </cell>
          <cell r="J8">
            <v>1540.66342</v>
          </cell>
          <cell r="K8">
            <v>9443.863746</v>
          </cell>
          <cell r="L8">
            <v>7921.004181</v>
          </cell>
          <cell r="M8">
            <v>255.607356</v>
          </cell>
          <cell r="N8">
            <v>13657.438266</v>
          </cell>
          <cell r="O8">
            <v>10266.15118</v>
          </cell>
          <cell r="P8">
            <v>9443.863746</v>
          </cell>
          <cell r="Q8">
            <v>4213.57452</v>
          </cell>
          <cell r="R8">
            <v>8176.611537</v>
          </cell>
          <cell r="S8">
            <v>1877.812156</v>
          </cell>
          <cell r="T8">
            <v>7566.05159</v>
          </cell>
          <cell r="U8">
            <v>0</v>
          </cell>
          <cell r="V8">
            <v>0</v>
          </cell>
          <cell r="W8" t="str">
            <v>泸州</v>
          </cell>
          <cell r="X8">
            <v>301.905864</v>
          </cell>
          <cell r="Y8">
            <v>6548.542663</v>
          </cell>
          <cell r="Z8">
            <v>1575.906292</v>
          </cell>
          <cell r="AA8">
            <v>1017.508927</v>
          </cell>
        </row>
        <row r="9">
          <cell r="B9" t="str">
            <v>德阳</v>
          </cell>
          <cell r="C9">
            <v>13504.644938</v>
          </cell>
          <cell r="D9">
            <v>441.8822</v>
          </cell>
          <cell r="E9">
            <v>0</v>
          </cell>
          <cell r="F9">
            <v>0</v>
          </cell>
          <cell r="G9">
            <v>0</v>
          </cell>
          <cell r="H9">
            <v>-472.08889</v>
          </cell>
          <cell r="I9">
            <v>-4469.374754</v>
          </cell>
          <cell r="J9">
            <v>855.266935</v>
          </cell>
          <cell r="K9">
            <v>9532.109531</v>
          </cell>
          <cell r="L9">
            <v>8219.543415</v>
          </cell>
          <cell r="M9">
            <v>43.671674</v>
          </cell>
          <cell r="N9">
            <v>13032.556048</v>
          </cell>
          <cell r="O9">
            <v>9035.270184</v>
          </cell>
          <cell r="P9">
            <v>9532.109531</v>
          </cell>
          <cell r="Q9">
            <v>3500.446517</v>
          </cell>
          <cell r="R9">
            <v>8263.215089</v>
          </cell>
          <cell r="S9">
            <v>2779.502353</v>
          </cell>
          <cell r="T9">
            <v>6752.607178</v>
          </cell>
          <cell r="U9">
            <v>0</v>
          </cell>
          <cell r="V9">
            <v>0</v>
          </cell>
          <cell r="W9" t="str">
            <v>德阳</v>
          </cell>
          <cell r="X9">
            <v>1262.414851</v>
          </cell>
          <cell r="Y9">
            <v>6245.594291</v>
          </cell>
          <cell r="Z9">
            <v>1517.087502</v>
          </cell>
          <cell r="AA9">
            <v>507.012887</v>
          </cell>
        </row>
        <row r="10">
          <cell r="B10" t="str">
            <v>绵阳</v>
          </cell>
          <cell r="C10">
            <v>14259.839858</v>
          </cell>
          <cell r="D10">
            <v>14.024873</v>
          </cell>
          <cell r="E10">
            <v>227</v>
          </cell>
          <cell r="F10">
            <v>227</v>
          </cell>
          <cell r="G10">
            <v>0</v>
          </cell>
          <cell r="H10">
            <v>-110.7022</v>
          </cell>
          <cell r="I10">
            <v>-3451.419625</v>
          </cell>
          <cell r="J10">
            <v>900.07552</v>
          </cell>
          <cell r="K10">
            <v>7865.344419</v>
          </cell>
          <cell r="L10">
            <v>12344.406298</v>
          </cell>
          <cell r="M10">
            <v>151.241453</v>
          </cell>
          <cell r="N10">
            <v>14376.137658</v>
          </cell>
          <cell r="O10">
            <v>10808.420233</v>
          </cell>
          <cell r="P10">
            <v>8092.344419</v>
          </cell>
          <cell r="Q10">
            <v>6283.793239</v>
          </cell>
          <cell r="R10">
            <v>12495.647751</v>
          </cell>
          <cell r="S10">
            <v>1524.198983</v>
          </cell>
          <cell r="T10">
            <v>6568.145436</v>
          </cell>
          <cell r="U10">
            <v>0</v>
          </cell>
          <cell r="V10">
            <v>0</v>
          </cell>
          <cell r="W10" t="str">
            <v>绵阳</v>
          </cell>
          <cell r="X10">
            <v>510.957293</v>
          </cell>
          <cell r="Y10">
            <v>5503.598023</v>
          </cell>
          <cell r="Z10">
            <v>1013.24169</v>
          </cell>
          <cell r="AA10">
            <v>837.547413</v>
          </cell>
        </row>
        <row r="11">
          <cell r="B11" t="str">
            <v>广元</v>
          </cell>
          <cell r="C11">
            <v>8348.808801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-261.798412</v>
          </cell>
          <cell r="I11">
            <v>-1824.265832</v>
          </cell>
          <cell r="J11">
            <v>359.258578</v>
          </cell>
          <cell r="K11">
            <v>5020.445951</v>
          </cell>
          <cell r="L11">
            <v>4580.30236</v>
          </cell>
          <cell r="M11">
            <v>249.949385</v>
          </cell>
          <cell r="N11">
            <v>8087.010389</v>
          </cell>
          <cell r="O11">
            <v>6524.542969</v>
          </cell>
          <cell r="P11">
            <v>5020.445951</v>
          </cell>
          <cell r="Q11">
            <v>3066.564438</v>
          </cell>
          <cell r="R11">
            <v>4830.251745</v>
          </cell>
          <cell r="S11">
            <v>763.50364</v>
          </cell>
          <cell r="T11">
            <v>4256.942311</v>
          </cell>
          <cell r="U11">
            <v>0</v>
          </cell>
          <cell r="V11">
            <v>0</v>
          </cell>
          <cell r="W11" t="str">
            <v>广元</v>
          </cell>
          <cell r="X11">
            <v>102.283553</v>
          </cell>
          <cell r="Y11">
            <v>4124.344317</v>
          </cell>
          <cell r="Z11">
            <v>661.220087</v>
          </cell>
          <cell r="AA11">
            <v>132.597994</v>
          </cell>
        </row>
        <row r="12">
          <cell r="B12" t="str">
            <v>遂宁</v>
          </cell>
          <cell r="C12">
            <v>6344.712347</v>
          </cell>
          <cell r="D12">
            <v>0</v>
          </cell>
          <cell r="E12">
            <v>579.2655</v>
          </cell>
          <cell r="F12">
            <v>579.2655</v>
          </cell>
          <cell r="G12">
            <v>0</v>
          </cell>
          <cell r="H12">
            <v>-467.171163</v>
          </cell>
          <cell r="I12">
            <v>-1491.225612</v>
          </cell>
          <cell r="J12">
            <v>222.521206</v>
          </cell>
          <cell r="K12">
            <v>4541.022157</v>
          </cell>
          <cell r="L12">
            <v>3643.827954</v>
          </cell>
          <cell r="M12">
            <v>215.55302</v>
          </cell>
          <cell r="N12">
            <v>6456.806684</v>
          </cell>
          <cell r="O12">
            <v>4853.486735</v>
          </cell>
          <cell r="P12">
            <v>5120.287657</v>
          </cell>
          <cell r="Q12">
            <v>1336.519027</v>
          </cell>
          <cell r="R12">
            <v>3859.380974</v>
          </cell>
          <cell r="S12">
            <v>833.600232</v>
          </cell>
          <cell r="T12">
            <v>4286.687425</v>
          </cell>
          <cell r="U12">
            <v>0</v>
          </cell>
          <cell r="V12">
            <v>0</v>
          </cell>
          <cell r="W12" t="str">
            <v>遂宁</v>
          </cell>
          <cell r="X12">
            <v>135.292323</v>
          </cell>
          <cell r="Y12">
            <v>3542.177345</v>
          </cell>
          <cell r="Z12">
            <v>698.307909</v>
          </cell>
          <cell r="AA12">
            <v>165.24458</v>
          </cell>
        </row>
        <row r="13">
          <cell r="B13" t="str">
            <v>内江</v>
          </cell>
          <cell r="C13">
            <v>6108.010313</v>
          </cell>
          <cell r="D13">
            <v>0</v>
          </cell>
          <cell r="E13">
            <v>969.477</v>
          </cell>
          <cell r="F13">
            <v>969.477</v>
          </cell>
          <cell r="G13">
            <v>0</v>
          </cell>
          <cell r="H13">
            <v>-78.856925</v>
          </cell>
          <cell r="I13">
            <v>-2040.713605</v>
          </cell>
          <cell r="J13">
            <v>274.344385</v>
          </cell>
          <cell r="K13">
            <v>3209.884471</v>
          </cell>
          <cell r="L13">
            <v>5198.614824</v>
          </cell>
          <cell r="M13">
            <v>37.209458</v>
          </cell>
          <cell r="N13">
            <v>6998.630388</v>
          </cell>
          <cell r="O13">
            <v>4067.296708</v>
          </cell>
          <cell r="P13">
            <v>4179.361471</v>
          </cell>
          <cell r="Q13">
            <v>2819.268917</v>
          </cell>
          <cell r="R13">
            <v>5235.824282</v>
          </cell>
          <cell r="S13">
            <v>766.360262</v>
          </cell>
          <cell r="T13">
            <v>3413.001209</v>
          </cell>
          <cell r="U13">
            <v>0</v>
          </cell>
          <cell r="V13">
            <v>0</v>
          </cell>
          <cell r="W13" t="str">
            <v>内江</v>
          </cell>
          <cell r="X13">
            <v>5.459591</v>
          </cell>
          <cell r="Y13">
            <v>2223.429328</v>
          </cell>
          <cell r="Z13">
            <v>760.900671</v>
          </cell>
          <cell r="AA13">
            <v>220.094881</v>
          </cell>
        </row>
        <row r="14">
          <cell r="B14" t="str">
            <v>乐山</v>
          </cell>
          <cell r="C14">
            <v>14283.104859</v>
          </cell>
          <cell r="D14">
            <v>0</v>
          </cell>
          <cell r="E14">
            <v>1071.391182</v>
          </cell>
          <cell r="F14">
            <v>1071.391182</v>
          </cell>
          <cell r="G14">
            <v>0</v>
          </cell>
          <cell r="H14">
            <v>-875.086873</v>
          </cell>
          <cell r="I14">
            <v>-3219.429534</v>
          </cell>
          <cell r="J14">
            <v>644.497037</v>
          </cell>
          <cell r="K14">
            <v>9812.835753</v>
          </cell>
          <cell r="L14">
            <v>6721.276469</v>
          </cell>
          <cell r="M14">
            <v>159.11928</v>
          </cell>
          <cell r="N14">
            <v>14479.409168</v>
          </cell>
          <cell r="O14">
            <v>11063.675325</v>
          </cell>
          <cell r="P14">
            <v>10884.226935</v>
          </cell>
          <cell r="Q14">
            <v>3595.182233</v>
          </cell>
          <cell r="R14">
            <v>6880.395749</v>
          </cell>
          <cell r="S14">
            <v>1542.44682</v>
          </cell>
          <cell r="T14">
            <v>9341.780115</v>
          </cell>
          <cell r="U14">
            <v>0</v>
          </cell>
          <cell r="V14">
            <v>0</v>
          </cell>
          <cell r="W14" t="str">
            <v>乐山</v>
          </cell>
          <cell r="X14">
            <v>145.571691</v>
          </cell>
          <cell r="Y14">
            <v>7619.453198</v>
          </cell>
          <cell r="Z14">
            <v>1396.875129</v>
          </cell>
          <cell r="AA14">
            <v>650.935735</v>
          </cell>
        </row>
        <row r="15">
          <cell r="B15" t="str">
            <v>南充</v>
          </cell>
          <cell r="C15">
            <v>18574.995315</v>
          </cell>
          <cell r="D15">
            <v>0</v>
          </cell>
          <cell r="E15">
            <v>300.162835</v>
          </cell>
          <cell r="F15">
            <v>300.162835</v>
          </cell>
          <cell r="G15">
            <v>0</v>
          </cell>
          <cell r="H15">
            <v>686.450355</v>
          </cell>
          <cell r="I15">
            <v>-5220.886798</v>
          </cell>
          <cell r="J15">
            <v>881.897856</v>
          </cell>
          <cell r="K15">
            <v>10377.920491</v>
          </cell>
          <cell r="L15">
            <v>10007.368472</v>
          </cell>
          <cell r="M15">
            <v>-94.828758</v>
          </cell>
          <cell r="N15">
            <v>19561.608505</v>
          </cell>
          <cell r="O15">
            <v>13354.108517</v>
          </cell>
          <cell r="P15">
            <v>10678.083326</v>
          </cell>
          <cell r="Q15">
            <v>8883.525179</v>
          </cell>
          <cell r="R15">
            <v>9912.539714</v>
          </cell>
          <cell r="S15">
            <v>1230.032724</v>
          </cell>
          <cell r="T15">
            <v>9448.050602</v>
          </cell>
          <cell r="U15">
            <v>0</v>
          </cell>
          <cell r="V15">
            <v>0</v>
          </cell>
          <cell r="W15" t="str">
            <v>南充</v>
          </cell>
          <cell r="X15">
            <v>53.492153</v>
          </cell>
          <cell r="Y15">
            <v>8845.190758</v>
          </cell>
          <cell r="Z15">
            <v>1176.540571</v>
          </cell>
          <cell r="AA15">
            <v>302.697009</v>
          </cell>
        </row>
        <row r="16">
          <cell r="B16" t="str">
            <v>眉山</v>
          </cell>
          <cell r="C16">
            <v>11841.627259</v>
          </cell>
          <cell r="D16">
            <v>191.13136</v>
          </cell>
          <cell r="E16">
            <v>336.643846</v>
          </cell>
          <cell r="F16">
            <v>336.643846</v>
          </cell>
          <cell r="G16">
            <v>0</v>
          </cell>
          <cell r="H16">
            <v>295.729575</v>
          </cell>
          <cell r="I16">
            <v>-2440.042335</v>
          </cell>
          <cell r="J16">
            <v>440.993414</v>
          </cell>
          <cell r="K16">
            <v>8158.051022</v>
          </cell>
          <cell r="L16">
            <v>6979.781955</v>
          </cell>
          <cell r="M16">
            <v>26.181457</v>
          </cell>
          <cell r="N16">
            <v>12474.00068</v>
          </cell>
          <cell r="O16">
            <v>9401.584924</v>
          </cell>
          <cell r="P16">
            <v>8494.694868</v>
          </cell>
          <cell r="Q16">
            <v>3979.305812</v>
          </cell>
          <cell r="R16">
            <v>7005.963412</v>
          </cell>
          <cell r="S16">
            <v>763.564301</v>
          </cell>
          <cell r="T16">
            <v>7731.130567</v>
          </cell>
          <cell r="U16">
            <v>0</v>
          </cell>
          <cell r="V16">
            <v>0</v>
          </cell>
          <cell r="W16" t="str">
            <v>眉山</v>
          </cell>
          <cell r="X16">
            <v>40.817743</v>
          </cell>
          <cell r="Y16">
            <v>6761.907613</v>
          </cell>
          <cell r="Z16">
            <v>722.746558</v>
          </cell>
          <cell r="AA16">
            <v>632.579108</v>
          </cell>
        </row>
        <row r="17">
          <cell r="B17" t="str">
            <v>宜宾</v>
          </cell>
          <cell r="C17">
            <v>13851.647233</v>
          </cell>
          <cell r="D17">
            <v>0</v>
          </cell>
          <cell r="E17">
            <v>422.226831</v>
          </cell>
          <cell r="F17">
            <v>422.226831</v>
          </cell>
          <cell r="G17">
            <v>0</v>
          </cell>
          <cell r="H17">
            <v>-15.855694</v>
          </cell>
          <cell r="I17">
            <v>-4217.408474</v>
          </cell>
          <cell r="J17">
            <v>1072.294025</v>
          </cell>
          <cell r="K17">
            <v>8558.047201</v>
          </cell>
          <cell r="L17">
            <v>7079.219847</v>
          </cell>
          <cell r="M17">
            <v>-49.744532</v>
          </cell>
          <cell r="N17">
            <v>14258.01837</v>
          </cell>
          <cell r="O17">
            <v>9634.238759</v>
          </cell>
          <cell r="P17">
            <v>8980.274032</v>
          </cell>
          <cell r="Q17">
            <v>5277.744338</v>
          </cell>
          <cell r="R17">
            <v>7029.475315</v>
          </cell>
          <cell r="S17">
            <v>1655.615911</v>
          </cell>
          <cell r="T17">
            <v>7324.658121</v>
          </cell>
          <cell r="U17">
            <v>0</v>
          </cell>
          <cell r="V17">
            <v>0</v>
          </cell>
          <cell r="W17" t="str">
            <v>宜宾</v>
          </cell>
          <cell r="X17">
            <v>112.091479</v>
          </cell>
          <cell r="Y17">
            <v>6466.295075</v>
          </cell>
          <cell r="Z17">
            <v>1543.524432</v>
          </cell>
          <cell r="AA17">
            <v>436.136215</v>
          </cell>
        </row>
        <row r="18">
          <cell r="B18" t="str">
            <v>广安</v>
          </cell>
          <cell r="C18">
            <v>10419.950738</v>
          </cell>
          <cell r="D18">
            <v>0</v>
          </cell>
          <cell r="E18">
            <v>49.967942</v>
          </cell>
          <cell r="F18">
            <v>49.967942</v>
          </cell>
          <cell r="G18">
            <v>0</v>
          </cell>
          <cell r="H18">
            <v>-293.453881</v>
          </cell>
          <cell r="I18">
            <v>-2217.002463</v>
          </cell>
          <cell r="J18">
            <v>-89.75806</v>
          </cell>
          <cell r="K18">
            <v>7078.44273</v>
          </cell>
          <cell r="L18">
            <v>3960.559265</v>
          </cell>
          <cell r="M18">
            <v>22.222216</v>
          </cell>
          <cell r="N18">
            <v>10176.464799</v>
          </cell>
          <cell r="O18">
            <v>8202.948275</v>
          </cell>
          <cell r="P18">
            <v>7128.410672</v>
          </cell>
          <cell r="Q18">
            <v>3048.054127</v>
          </cell>
          <cell r="R18">
            <v>3982.781481</v>
          </cell>
          <cell r="S18">
            <v>1212.091463</v>
          </cell>
          <cell r="T18">
            <v>5916.319209</v>
          </cell>
          <cell r="U18">
            <v>0</v>
          </cell>
          <cell r="V18">
            <v>0</v>
          </cell>
          <cell r="W18" t="str">
            <v>广安</v>
          </cell>
          <cell r="X18">
            <v>12.127756</v>
          </cell>
          <cell r="Y18">
            <v>5521.702092</v>
          </cell>
          <cell r="Z18">
            <v>1199.963707</v>
          </cell>
          <cell r="AA18">
            <v>344.649175</v>
          </cell>
        </row>
        <row r="19">
          <cell r="B19" t="str">
            <v>达州</v>
          </cell>
          <cell r="C19">
            <v>10452.586449</v>
          </cell>
          <cell r="D19">
            <v>268.279455</v>
          </cell>
          <cell r="E19">
            <v>2246.7506</v>
          </cell>
          <cell r="F19">
            <v>2246.7506</v>
          </cell>
          <cell r="G19">
            <v>0</v>
          </cell>
          <cell r="H19">
            <v>143.360506</v>
          </cell>
          <cell r="I19">
            <v>-4876.25726</v>
          </cell>
          <cell r="J19">
            <v>-84.419841</v>
          </cell>
          <cell r="K19">
            <v>4737.730156</v>
          </cell>
          <cell r="L19">
            <v>7242.814814</v>
          </cell>
          <cell r="M19">
            <v>1221.015801</v>
          </cell>
          <cell r="N19">
            <v>12842.697555</v>
          </cell>
          <cell r="O19">
            <v>5576.329189</v>
          </cell>
          <cell r="P19">
            <v>6984.480756</v>
          </cell>
          <cell r="Q19">
            <v>5858.216799</v>
          </cell>
          <cell r="R19">
            <v>8463.830615</v>
          </cell>
          <cell r="S19">
            <v>1509.37037</v>
          </cell>
          <cell r="T19">
            <v>5475.110386</v>
          </cell>
          <cell r="U19">
            <v>0</v>
          </cell>
          <cell r="V19">
            <v>0</v>
          </cell>
          <cell r="W19" t="str">
            <v>达州</v>
          </cell>
          <cell r="X19">
            <v>157.306503</v>
          </cell>
          <cell r="Y19">
            <v>2677.722638</v>
          </cell>
          <cell r="Z19">
            <v>1352.063867</v>
          </cell>
          <cell r="AA19">
            <v>550.637148</v>
          </cell>
        </row>
        <row r="20">
          <cell r="B20" t="str">
            <v>雅安</v>
          </cell>
          <cell r="C20">
            <v>4029.606842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-695.269345</v>
          </cell>
          <cell r="I20">
            <v>-717.106336</v>
          </cell>
          <cell r="J20">
            <v>115.628019</v>
          </cell>
          <cell r="K20">
            <v>2312.013294</v>
          </cell>
          <cell r="L20">
            <v>3417.841585</v>
          </cell>
          <cell r="M20">
            <v>13.770663</v>
          </cell>
          <cell r="N20">
            <v>3334.337497</v>
          </cell>
          <cell r="O20">
            <v>3312.500506</v>
          </cell>
          <cell r="P20">
            <v>2312.013294</v>
          </cell>
          <cell r="Q20">
            <v>1022.324203</v>
          </cell>
          <cell r="R20">
            <v>3431.612248</v>
          </cell>
          <cell r="S20">
            <v>1411.689762</v>
          </cell>
          <cell r="T20">
            <v>900.323532</v>
          </cell>
          <cell r="U20">
            <v>0</v>
          </cell>
          <cell r="V20">
            <v>0</v>
          </cell>
          <cell r="W20" t="str">
            <v>雅安</v>
          </cell>
          <cell r="X20">
            <v>977.024473</v>
          </cell>
          <cell r="Y20">
            <v>768.753596</v>
          </cell>
          <cell r="Z20">
            <v>434.665289</v>
          </cell>
          <cell r="AA20">
            <v>131.569936</v>
          </cell>
        </row>
        <row r="21">
          <cell r="B21" t="str">
            <v>巴中</v>
          </cell>
          <cell r="C21">
            <v>9246.405282</v>
          </cell>
          <cell r="D21">
            <v>0</v>
          </cell>
          <cell r="E21">
            <v>1925.100527</v>
          </cell>
          <cell r="F21">
            <v>1925.100527</v>
          </cell>
          <cell r="G21">
            <v>0</v>
          </cell>
          <cell r="H21">
            <v>53.863428</v>
          </cell>
          <cell r="I21">
            <v>-3358.75808</v>
          </cell>
          <cell r="J21">
            <v>229.186241</v>
          </cell>
          <cell r="K21">
            <v>6521.180832</v>
          </cell>
          <cell r="L21">
            <v>6506.546179</v>
          </cell>
          <cell r="M21">
            <v>37.235328</v>
          </cell>
          <cell r="N21">
            <v>11225.369237</v>
          </cell>
          <cell r="O21">
            <v>5887.647202</v>
          </cell>
          <cell r="P21">
            <v>8446.281359</v>
          </cell>
          <cell r="Q21">
            <v>2779.087878</v>
          </cell>
          <cell r="R21">
            <v>6543.781507</v>
          </cell>
          <cell r="S21">
            <v>1115.231069</v>
          </cell>
          <cell r="T21">
            <v>7331.05029</v>
          </cell>
          <cell r="U21">
            <v>0</v>
          </cell>
          <cell r="V21">
            <v>0</v>
          </cell>
          <cell r="W21" t="str">
            <v>巴中</v>
          </cell>
          <cell r="X21">
            <v>40.080092</v>
          </cell>
          <cell r="Y21">
            <v>4496.532259</v>
          </cell>
          <cell r="Z21">
            <v>1075.150977</v>
          </cell>
          <cell r="AA21">
            <v>909.417504</v>
          </cell>
        </row>
        <row r="22">
          <cell r="B22" t="str">
            <v>资阳</v>
          </cell>
          <cell r="C22">
            <v>4664.570539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-426.836477</v>
          </cell>
          <cell r="I22">
            <v>-1427.985314</v>
          </cell>
          <cell r="J22">
            <v>357.857256</v>
          </cell>
          <cell r="K22">
            <v>3110.973621</v>
          </cell>
          <cell r="L22">
            <v>4566.151071</v>
          </cell>
          <cell r="M22">
            <v>14.457233</v>
          </cell>
          <cell r="N22">
            <v>4237.734062</v>
          </cell>
          <cell r="O22">
            <v>3236.585225</v>
          </cell>
          <cell r="P22">
            <v>3110.973621</v>
          </cell>
          <cell r="Q22">
            <v>1126.760441</v>
          </cell>
          <cell r="R22">
            <v>4580.608304</v>
          </cell>
          <cell r="S22">
            <v>387.911744</v>
          </cell>
          <cell r="T22">
            <v>2723.061877</v>
          </cell>
          <cell r="U22">
            <v>0</v>
          </cell>
          <cell r="V22">
            <v>0</v>
          </cell>
          <cell r="W22" t="str">
            <v>资阳</v>
          </cell>
          <cell r="X22">
            <v>1.343247</v>
          </cell>
          <cell r="Y22">
            <v>2441.476198</v>
          </cell>
          <cell r="Z22">
            <v>386.568497</v>
          </cell>
          <cell r="AA22">
            <v>281.585679</v>
          </cell>
        </row>
        <row r="23">
          <cell r="B23" t="str">
            <v>阿坝</v>
          </cell>
          <cell r="C23">
            <v>5734.776147</v>
          </cell>
          <cell r="D23">
            <v>0</v>
          </cell>
          <cell r="E23">
            <v>382.92</v>
          </cell>
          <cell r="F23">
            <v>382.92</v>
          </cell>
          <cell r="G23">
            <v>0</v>
          </cell>
          <cell r="H23">
            <v>113.428137</v>
          </cell>
          <cell r="I23">
            <v>-1940.615544</v>
          </cell>
          <cell r="J23">
            <v>433.900746</v>
          </cell>
          <cell r="K23">
            <v>3440.974962</v>
          </cell>
          <cell r="L23">
            <v>5532.563171</v>
          </cell>
          <cell r="M23">
            <v>499.203986</v>
          </cell>
          <cell r="N23">
            <v>6231.124284</v>
          </cell>
          <cell r="O23">
            <v>3794.160603</v>
          </cell>
          <cell r="P23">
            <v>3823.894962</v>
          </cell>
          <cell r="Q23">
            <v>2407.229322</v>
          </cell>
          <cell r="R23">
            <v>6031.767157</v>
          </cell>
          <cell r="S23">
            <v>1404.422938</v>
          </cell>
          <cell r="T23">
            <v>2419.472024</v>
          </cell>
          <cell r="U23">
            <v>0</v>
          </cell>
          <cell r="V23">
            <v>0</v>
          </cell>
          <cell r="W23" t="str">
            <v>阿坝</v>
          </cell>
          <cell r="X23">
            <v>39.899798</v>
          </cell>
          <cell r="Y23">
            <v>1914.114277</v>
          </cell>
          <cell r="Z23">
            <v>1364.52314</v>
          </cell>
          <cell r="AA23">
            <v>122.437747</v>
          </cell>
        </row>
        <row r="24">
          <cell r="B24" t="str">
            <v>甘孜</v>
          </cell>
          <cell r="C24">
            <v>7956.302221</v>
          </cell>
          <cell r="D24">
            <v>0</v>
          </cell>
          <cell r="E24">
            <v>1048.769125</v>
          </cell>
          <cell r="F24">
            <v>1048.769125</v>
          </cell>
          <cell r="G24">
            <v>0</v>
          </cell>
          <cell r="H24">
            <v>58.483993</v>
          </cell>
          <cell r="I24">
            <v>-3611.405898</v>
          </cell>
          <cell r="J24">
            <v>569.247619</v>
          </cell>
          <cell r="K24">
            <v>5028.936344</v>
          </cell>
          <cell r="L24">
            <v>5462.088928</v>
          </cell>
          <cell r="M24">
            <v>542.723347</v>
          </cell>
          <cell r="N24">
            <v>9063.555339</v>
          </cell>
          <cell r="O24">
            <v>4344.896323</v>
          </cell>
          <cell r="P24">
            <v>6077.705469</v>
          </cell>
          <cell r="Q24">
            <v>2985.84987</v>
          </cell>
          <cell r="R24">
            <v>6004.812275</v>
          </cell>
          <cell r="S24">
            <v>3222.535697</v>
          </cell>
          <cell r="T24">
            <v>2855.169772</v>
          </cell>
          <cell r="U24">
            <v>0</v>
          </cell>
          <cell r="V24">
            <v>0</v>
          </cell>
          <cell r="W24" t="str">
            <v>甘孜</v>
          </cell>
          <cell r="X24">
            <v>1.65295</v>
          </cell>
          <cell r="Y24">
            <v>1470.501019</v>
          </cell>
          <cell r="Z24">
            <v>3220.882747</v>
          </cell>
          <cell r="AA24">
            <v>335.899628</v>
          </cell>
        </row>
        <row r="25">
          <cell r="B25" t="str">
            <v>凉山</v>
          </cell>
          <cell r="C25">
            <v>13376.025752</v>
          </cell>
          <cell r="D25">
            <v>0</v>
          </cell>
          <cell r="E25">
            <v>342.3</v>
          </cell>
          <cell r="F25">
            <v>342.3</v>
          </cell>
          <cell r="G25">
            <v>0</v>
          </cell>
          <cell r="H25">
            <v>2011.551647</v>
          </cell>
          <cell r="I25">
            <v>-4279.49641</v>
          </cell>
          <cell r="J25">
            <v>635.997201</v>
          </cell>
          <cell r="K25">
            <v>9250.777259</v>
          </cell>
          <cell r="L25">
            <v>10301.51276</v>
          </cell>
          <cell r="M25">
            <v>504.459901</v>
          </cell>
          <cell r="N25">
            <v>15729.877399</v>
          </cell>
          <cell r="O25">
            <v>9096.529342</v>
          </cell>
          <cell r="P25">
            <v>9593.077259</v>
          </cell>
          <cell r="Q25">
            <v>6136.80014</v>
          </cell>
          <cell r="R25">
            <v>10805.972661</v>
          </cell>
          <cell r="S25">
            <v>2341.495175</v>
          </cell>
          <cell r="T25">
            <v>7251.582084</v>
          </cell>
          <cell r="U25">
            <v>0</v>
          </cell>
          <cell r="V25">
            <v>0</v>
          </cell>
          <cell r="W25" t="str">
            <v>凉山</v>
          </cell>
          <cell r="X25">
            <v>15.768141</v>
          </cell>
          <cell r="Y25">
            <v>6432.261817</v>
          </cell>
          <cell r="Z25">
            <v>2325.727034</v>
          </cell>
          <cell r="AA25">
            <v>477.020267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6年2月)"/>
    </sheetNames>
    <sheetDataSet>
      <sheetData sheetId="0" refreshError="1">
        <row r="2">
          <cell r="A2" t="str">
            <v>单位</v>
          </cell>
          <cell r="B2" t="str">
            <v>合计【15期末余额  账龄＜1个月】</v>
          </cell>
          <cell r="C2" t="str">
            <v>合计【16期末余额  1个月≤账龄≤3个月】</v>
          </cell>
          <cell r="D2" t="str">
            <v>合计【17期末余额  3个月＜账龄≤6个月】</v>
          </cell>
          <cell r="E2" t="str">
            <v>合计【18期末余额  6个月＜账龄≤1年】</v>
          </cell>
          <cell r="F2" t="str">
            <v>合计【19期末余额  1年＜账龄≤2年】</v>
          </cell>
          <cell r="G2" t="str">
            <v>合计【20期末余额  2年＜账龄≤3年】</v>
          </cell>
          <cell r="H2" t="str">
            <v>合计【28期末余额 3年＜账龄≤4年】</v>
          </cell>
          <cell r="I2" t="str">
            <v>合计【29期末余额 4年＜账龄≤5年】</v>
          </cell>
          <cell r="J2" t="str">
            <v>合计【30期末余额 5年＜账龄】</v>
          </cell>
          <cell r="K2" t="str">
            <v>合计【21期末余额  合计】</v>
          </cell>
          <cell r="L2" t="str">
            <v>一年以上应收账款</v>
          </cell>
        </row>
        <row r="3">
          <cell r="A3" t="str">
            <v>本部</v>
          </cell>
          <cell r="B3">
            <v>239576326.81</v>
          </cell>
          <cell r="C3">
            <v>180362414.49</v>
          </cell>
          <cell r="D3">
            <v>41201261.42</v>
          </cell>
          <cell r="E3">
            <v>117252283.28</v>
          </cell>
          <cell r="F3">
            <v>6392317.47</v>
          </cell>
          <cell r="G3">
            <v>1022552.22</v>
          </cell>
          <cell r="H3">
            <v>1925564.16</v>
          </cell>
          <cell r="I3">
            <v>1929602.47</v>
          </cell>
          <cell r="J3">
            <v>4550094.79</v>
          </cell>
          <cell r="K3">
            <v>594212417.11</v>
          </cell>
          <cell r="L3">
            <v>15820131.11</v>
          </cell>
        </row>
        <row r="4">
          <cell r="A4" t="str">
            <v>成都</v>
          </cell>
          <cell r="B4">
            <v>187236584.22</v>
          </cell>
          <cell r="C4">
            <v>219110275.52</v>
          </cell>
          <cell r="D4">
            <v>93637318.73</v>
          </cell>
          <cell r="E4">
            <v>97010310.1</v>
          </cell>
          <cell r="F4">
            <v>48944618.41</v>
          </cell>
          <cell r="G4">
            <v>24545883.4</v>
          </cell>
          <cell r="H4">
            <v>15529176.73</v>
          </cell>
          <cell r="I4">
            <v>11405296.16</v>
          </cell>
          <cell r="J4">
            <v>64693927.78</v>
          </cell>
          <cell r="K4">
            <v>762113391.05</v>
          </cell>
          <cell r="L4">
            <v>165118902.48</v>
          </cell>
        </row>
        <row r="5">
          <cell r="A5" t="str">
            <v>天府新区</v>
          </cell>
        </row>
        <row r="5">
          <cell r="L5">
            <v>0</v>
          </cell>
        </row>
        <row r="6">
          <cell r="A6" t="str">
            <v>自贡</v>
          </cell>
          <cell r="B6">
            <v>-14666057.87</v>
          </cell>
          <cell r="C6">
            <v>25898875.77</v>
          </cell>
          <cell r="D6">
            <v>2629899.25</v>
          </cell>
          <cell r="E6">
            <v>29695468.5</v>
          </cell>
          <cell r="F6">
            <v>11468684.18</v>
          </cell>
          <cell r="G6">
            <v>1228026.92</v>
          </cell>
          <cell r="H6">
            <v>512688.24</v>
          </cell>
          <cell r="I6">
            <v>283046.76</v>
          </cell>
          <cell r="J6">
            <v>776400.71</v>
          </cell>
          <cell r="K6">
            <v>57827032.46</v>
          </cell>
          <cell r="L6">
            <v>14268846.81</v>
          </cell>
        </row>
        <row r="7">
          <cell r="A7" t="str">
            <v>攀枝花</v>
          </cell>
          <cell r="B7">
            <v>6863304.38</v>
          </cell>
          <cell r="C7">
            <v>12166811.8</v>
          </cell>
          <cell r="D7">
            <v>3378413.91</v>
          </cell>
          <cell r="E7">
            <v>6341051.44</v>
          </cell>
          <cell r="F7">
            <v>3456686.77</v>
          </cell>
          <cell r="G7">
            <v>10208064</v>
          </cell>
          <cell r="H7">
            <v>1878617.38</v>
          </cell>
          <cell r="I7">
            <v>478280.57</v>
          </cell>
          <cell r="J7">
            <v>1241383.09</v>
          </cell>
          <cell r="K7">
            <v>46012613.34</v>
          </cell>
          <cell r="L7">
            <v>17263031.81</v>
          </cell>
        </row>
        <row r="8">
          <cell r="A8" t="str">
            <v>泸州</v>
          </cell>
          <cell r="B8">
            <v>21643005.78</v>
          </cell>
          <cell r="C8">
            <v>37563450.51</v>
          </cell>
          <cell r="D8">
            <v>10013021.21</v>
          </cell>
          <cell r="E8">
            <v>21500902</v>
          </cell>
          <cell r="F8">
            <v>27962855.8</v>
          </cell>
          <cell r="G8">
            <v>7334905.37</v>
          </cell>
          <cell r="H8">
            <v>2885011.81</v>
          </cell>
          <cell r="I8">
            <v>1753549.53</v>
          </cell>
          <cell r="J8">
            <v>1432553.8</v>
          </cell>
          <cell r="K8">
            <v>132089255.81</v>
          </cell>
          <cell r="L8">
            <v>41368876.31</v>
          </cell>
        </row>
        <row r="9">
          <cell r="A9" t="str">
            <v>德阳</v>
          </cell>
          <cell r="B9">
            <v>21855596.88</v>
          </cell>
          <cell r="C9">
            <v>39805019.88</v>
          </cell>
          <cell r="D9">
            <v>8718533.91</v>
          </cell>
          <cell r="E9">
            <v>35310697.65</v>
          </cell>
          <cell r="F9">
            <v>21040052.43</v>
          </cell>
          <cell r="G9">
            <v>1324899.8</v>
          </cell>
          <cell r="H9">
            <v>906528.89</v>
          </cell>
          <cell r="I9">
            <v>579026.79</v>
          </cell>
          <cell r="J9">
            <v>1357179.33</v>
          </cell>
          <cell r="K9">
            <v>130897535.56</v>
          </cell>
          <cell r="L9">
            <v>25207687.24</v>
          </cell>
        </row>
        <row r="10">
          <cell r="A10" t="str">
            <v>绵阳</v>
          </cell>
          <cell r="B10">
            <v>42771697.35</v>
          </cell>
          <cell r="C10">
            <v>40086678.63</v>
          </cell>
          <cell r="D10">
            <v>8954830.39</v>
          </cell>
          <cell r="E10">
            <v>27116726.15</v>
          </cell>
          <cell r="F10">
            <v>16263848.46</v>
          </cell>
          <cell r="G10">
            <v>2113702.06</v>
          </cell>
          <cell r="H10">
            <v>1609796.04</v>
          </cell>
          <cell r="I10">
            <v>1019738.28</v>
          </cell>
          <cell r="J10">
            <v>1554359.22</v>
          </cell>
          <cell r="K10">
            <v>141491376.58</v>
          </cell>
          <cell r="L10">
            <v>22561444.06</v>
          </cell>
        </row>
        <row r="11">
          <cell r="A11" t="str">
            <v>广元</v>
          </cell>
          <cell r="B11">
            <v>18009605.45</v>
          </cell>
          <cell r="C11">
            <v>26113030.45</v>
          </cell>
          <cell r="D11">
            <v>5053502.1</v>
          </cell>
          <cell r="E11">
            <v>17250741.25</v>
          </cell>
          <cell r="F11">
            <v>10413603.52</v>
          </cell>
          <cell r="G11">
            <v>1445286.92</v>
          </cell>
          <cell r="H11">
            <v>1132419.91</v>
          </cell>
          <cell r="I11">
            <v>633398.29</v>
          </cell>
          <cell r="J11">
            <v>818516</v>
          </cell>
          <cell r="K11">
            <v>80870103.89</v>
          </cell>
          <cell r="L11">
            <v>14443224.64</v>
          </cell>
        </row>
        <row r="12">
          <cell r="A12" t="str">
            <v>遂宁</v>
          </cell>
          <cell r="B12">
            <v>2978521.24</v>
          </cell>
          <cell r="C12">
            <v>20563158.38</v>
          </cell>
          <cell r="D12">
            <v>4356340.87</v>
          </cell>
          <cell r="E12">
            <v>16830837.65</v>
          </cell>
          <cell r="F12">
            <v>9970774.79</v>
          </cell>
          <cell r="G12">
            <v>2002086.1</v>
          </cell>
          <cell r="H12">
            <v>571128.95</v>
          </cell>
          <cell r="I12">
            <v>205376.84</v>
          </cell>
          <cell r="J12">
            <v>1297187.02</v>
          </cell>
          <cell r="K12">
            <v>58775411.84</v>
          </cell>
          <cell r="L12">
            <v>14046553.7</v>
          </cell>
        </row>
        <row r="13">
          <cell r="A13" t="str">
            <v>内江</v>
          </cell>
          <cell r="B13">
            <v>20285953.98</v>
          </cell>
          <cell r="C13">
            <v>17243181.86</v>
          </cell>
          <cell r="D13">
            <v>1954078.84</v>
          </cell>
          <cell r="E13">
            <v>11369119.92</v>
          </cell>
          <cell r="F13">
            <v>3524733.75</v>
          </cell>
          <cell r="G13">
            <v>4223963.44</v>
          </cell>
          <cell r="H13">
            <v>443874.38</v>
          </cell>
          <cell r="I13">
            <v>390762.21</v>
          </cell>
          <cell r="J13">
            <v>855865.5</v>
          </cell>
          <cell r="K13">
            <v>60291533.88</v>
          </cell>
          <cell r="L13">
            <v>9439199.28</v>
          </cell>
        </row>
        <row r="14">
          <cell r="A14" t="str">
            <v>乐山</v>
          </cell>
          <cell r="B14">
            <v>25086800.07</v>
          </cell>
          <cell r="C14">
            <v>36630286.59</v>
          </cell>
          <cell r="D14">
            <v>7448085.7</v>
          </cell>
          <cell r="E14">
            <v>29962103.36</v>
          </cell>
          <cell r="F14">
            <v>16477737.77</v>
          </cell>
          <cell r="G14">
            <v>11806626.4</v>
          </cell>
          <cell r="H14">
            <v>2760981.36</v>
          </cell>
          <cell r="I14">
            <v>1320006.58</v>
          </cell>
          <cell r="J14">
            <v>2587552.03</v>
          </cell>
          <cell r="K14">
            <v>134080179.86</v>
          </cell>
          <cell r="L14">
            <v>34952904.14</v>
          </cell>
        </row>
        <row r="15">
          <cell r="A15" t="str">
            <v>南充</v>
          </cell>
          <cell r="B15">
            <v>54801875.65</v>
          </cell>
          <cell r="C15">
            <v>50031401.75</v>
          </cell>
          <cell r="D15">
            <v>4932074.2</v>
          </cell>
          <cell r="E15">
            <v>43433537.9</v>
          </cell>
          <cell r="F15">
            <v>20214674.56</v>
          </cell>
          <cell r="G15">
            <v>14007936.87</v>
          </cell>
          <cell r="H15">
            <v>3250234.38</v>
          </cell>
          <cell r="I15">
            <v>936561.27</v>
          </cell>
          <cell r="J15">
            <v>1006160.12</v>
          </cell>
          <cell r="K15">
            <v>192614456.7</v>
          </cell>
          <cell r="L15">
            <v>39415567.2</v>
          </cell>
        </row>
        <row r="16">
          <cell r="A16" t="str">
            <v>眉山</v>
          </cell>
          <cell r="B16">
            <v>24867223.68</v>
          </cell>
          <cell r="C16">
            <v>54520454.52</v>
          </cell>
          <cell r="D16">
            <v>5854589.29</v>
          </cell>
          <cell r="E16">
            <v>27443850.16</v>
          </cell>
          <cell r="F16">
            <v>6388598.94</v>
          </cell>
          <cell r="G16">
            <v>1255513.16</v>
          </cell>
          <cell r="H16">
            <v>710783.83</v>
          </cell>
          <cell r="I16">
            <v>206540.45</v>
          </cell>
          <cell r="J16">
            <v>126014.31</v>
          </cell>
          <cell r="K16">
            <v>121373568.34</v>
          </cell>
          <cell r="L16">
            <v>8687450.69</v>
          </cell>
        </row>
        <row r="17">
          <cell r="A17" t="str">
            <v>宜宾</v>
          </cell>
          <cell r="B17">
            <v>17609083.87</v>
          </cell>
          <cell r="C17">
            <v>28425697.7</v>
          </cell>
          <cell r="D17">
            <v>19389594.78</v>
          </cell>
          <cell r="E17">
            <v>52445053.06</v>
          </cell>
          <cell r="F17">
            <v>16060012.38</v>
          </cell>
          <cell r="G17">
            <v>2245357.71</v>
          </cell>
          <cell r="H17">
            <v>1436299.16</v>
          </cell>
          <cell r="I17">
            <v>509158.35</v>
          </cell>
          <cell r="J17">
            <v>237658.38</v>
          </cell>
          <cell r="K17">
            <v>138357915.39</v>
          </cell>
          <cell r="L17">
            <v>20488485.98</v>
          </cell>
        </row>
        <row r="18">
          <cell r="A18" t="str">
            <v>广安</v>
          </cell>
          <cell r="B18">
            <v>17582339.84</v>
          </cell>
          <cell r="C18">
            <v>36308575.75</v>
          </cell>
          <cell r="D18">
            <v>12490123.2</v>
          </cell>
          <cell r="E18">
            <v>22377084.4</v>
          </cell>
          <cell r="F18">
            <v>8892548.36</v>
          </cell>
          <cell r="G18">
            <v>1516696.15</v>
          </cell>
          <cell r="H18">
            <v>585040.51</v>
          </cell>
          <cell r="I18">
            <v>375160.41</v>
          </cell>
          <cell r="J18">
            <v>1137399.95</v>
          </cell>
          <cell r="K18">
            <v>101264968.57</v>
          </cell>
          <cell r="L18">
            <v>12506845.38</v>
          </cell>
        </row>
        <row r="19">
          <cell r="A19" t="str">
            <v>达州</v>
          </cell>
          <cell r="B19">
            <v>36120705.72</v>
          </cell>
          <cell r="C19">
            <v>10306749.83</v>
          </cell>
          <cell r="D19">
            <v>2303924.37</v>
          </cell>
          <cell r="E19">
            <v>4709445.49</v>
          </cell>
          <cell r="F19">
            <v>37234689.06</v>
          </cell>
          <cell r="G19">
            <v>5676620.61</v>
          </cell>
          <cell r="H19">
            <v>3303884.87</v>
          </cell>
          <cell r="I19">
            <v>1371167.14</v>
          </cell>
          <cell r="J19">
            <v>4932282.46</v>
          </cell>
          <cell r="K19">
            <v>105959469.55</v>
          </cell>
          <cell r="L19">
            <v>52518644.14</v>
          </cell>
        </row>
        <row r="20">
          <cell r="A20" t="str">
            <v>雅安</v>
          </cell>
          <cell r="B20">
            <v>11339322.76</v>
          </cell>
          <cell r="C20">
            <v>13004000.67</v>
          </cell>
          <cell r="D20">
            <v>2104762.8</v>
          </cell>
          <cell r="E20">
            <v>4177112.48</v>
          </cell>
          <cell r="F20">
            <v>1519365.33</v>
          </cell>
          <cell r="G20">
            <v>415050.8</v>
          </cell>
          <cell r="H20">
            <v>220204.19</v>
          </cell>
          <cell r="I20">
            <v>162857.94</v>
          </cell>
          <cell r="J20">
            <v>400698</v>
          </cell>
          <cell r="K20">
            <v>33343374.97</v>
          </cell>
          <cell r="L20">
            <v>2718176.26</v>
          </cell>
        </row>
        <row r="21">
          <cell r="A21" t="str">
            <v>巴中</v>
          </cell>
          <cell r="B21">
            <v>-9060374.88</v>
          </cell>
          <cell r="C21">
            <v>24602539.68</v>
          </cell>
          <cell r="D21">
            <v>9709976.64</v>
          </cell>
          <cell r="E21">
            <v>34037606.33</v>
          </cell>
          <cell r="F21">
            <v>24397432.18</v>
          </cell>
          <cell r="G21">
            <v>5922565.13</v>
          </cell>
          <cell r="H21">
            <v>1143567.2</v>
          </cell>
          <cell r="I21">
            <v>1014491.81</v>
          </cell>
          <cell r="J21">
            <v>1234883.01</v>
          </cell>
          <cell r="K21">
            <v>93002687.1</v>
          </cell>
          <cell r="L21">
            <v>33712939.33</v>
          </cell>
        </row>
        <row r="22">
          <cell r="A22" t="str">
            <v>资阳</v>
          </cell>
          <cell r="B22">
            <v>5464954.54</v>
          </cell>
          <cell r="C22">
            <v>10316439.53</v>
          </cell>
          <cell r="D22">
            <v>7923243.16</v>
          </cell>
          <cell r="E22">
            <v>7278723.4</v>
          </cell>
          <cell r="F22">
            <v>7896737.78</v>
          </cell>
          <cell r="G22">
            <v>1556752.69</v>
          </cell>
          <cell r="H22">
            <v>394870.37</v>
          </cell>
          <cell r="I22">
            <v>224488.33</v>
          </cell>
          <cell r="J22">
            <v>1321130.82</v>
          </cell>
          <cell r="K22">
            <v>42377340.62</v>
          </cell>
          <cell r="L22">
            <v>11393979.99</v>
          </cell>
        </row>
        <row r="23">
          <cell r="A23" t="str">
            <v>阿坝</v>
          </cell>
          <cell r="B23">
            <v>10935057.79</v>
          </cell>
          <cell r="C23">
            <v>18902733.38</v>
          </cell>
          <cell r="D23">
            <v>9286151.43</v>
          </cell>
          <cell r="E23">
            <v>7584735.02</v>
          </cell>
          <cell r="F23">
            <v>6805686.42</v>
          </cell>
          <cell r="G23">
            <v>1368266.63</v>
          </cell>
          <cell r="H23">
            <v>952847.84</v>
          </cell>
          <cell r="I23">
            <v>1071367.82</v>
          </cell>
          <cell r="J23">
            <v>1575196.51</v>
          </cell>
          <cell r="K23">
            <v>58482042.84</v>
          </cell>
          <cell r="L23">
            <v>11773365.22</v>
          </cell>
        </row>
        <row r="24">
          <cell r="A24" t="str">
            <v>甘孜</v>
          </cell>
          <cell r="B24">
            <v>9946582.44</v>
          </cell>
          <cell r="C24">
            <v>27910754.61</v>
          </cell>
          <cell r="D24">
            <v>12512955.2</v>
          </cell>
          <cell r="E24">
            <v>16479425.58</v>
          </cell>
          <cell r="F24">
            <v>7863933.86</v>
          </cell>
          <cell r="G24">
            <v>1491742.32</v>
          </cell>
          <cell r="H24">
            <v>2383427.58</v>
          </cell>
          <cell r="I24">
            <v>543152.61</v>
          </cell>
          <cell r="J24">
            <v>1015887.94</v>
          </cell>
          <cell r="K24">
            <v>80147862.14</v>
          </cell>
          <cell r="L24">
            <v>13298144.31</v>
          </cell>
        </row>
        <row r="25">
          <cell r="A25" t="str">
            <v>凉山</v>
          </cell>
          <cell r="B25">
            <v>47527886.49</v>
          </cell>
          <cell r="C25">
            <v>40304029.58</v>
          </cell>
          <cell r="D25">
            <v>12174748.64</v>
          </cell>
          <cell r="E25">
            <v>29858192.37</v>
          </cell>
          <cell r="F25">
            <v>19910671.38</v>
          </cell>
          <cell r="G25">
            <v>1387265.61</v>
          </cell>
          <cell r="H25">
            <v>957693.84</v>
          </cell>
          <cell r="I25">
            <v>675461.31</v>
          </cell>
          <cell r="J25">
            <v>1079824.77</v>
          </cell>
          <cell r="K25">
            <v>153875773.99</v>
          </cell>
          <cell r="L25">
            <v>24010916.91</v>
          </cell>
        </row>
        <row r="26">
          <cell r="A26" t="str">
            <v>长途传输局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 t="str">
            <v>机动通信局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-2570.83</v>
          </cell>
          <cell r="K27">
            <v>-2570.83</v>
          </cell>
          <cell r="L27">
            <v>-2570.83</v>
          </cell>
        </row>
        <row r="28">
          <cell r="A28" t="str">
            <v>号百中心</v>
          </cell>
          <cell r="B28">
            <v>0</v>
          </cell>
          <cell r="C28">
            <v>196774.5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99886.87</v>
          </cell>
          <cell r="K28">
            <v>296661.37</v>
          </cell>
          <cell r="L28">
            <v>99886.87</v>
          </cell>
        </row>
        <row r="29">
          <cell r="A29" t="str">
            <v>天翼空间运营中心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</sheetNames>
    <sheetDataSet>
      <sheetData sheetId="0"/>
      <sheetData sheetId="1">
        <row r="1">
          <cell r="C1" t="str">
            <v>应收账款</v>
          </cell>
          <cell r="D1" t="str">
            <v>应收票据</v>
          </cell>
          <cell r="E1" t="str">
            <v>合同资产</v>
          </cell>
          <cell r="F1" t="str">
            <v>合同资产.产业数字化业务</v>
          </cell>
        </row>
        <row r="1">
          <cell r="H1" t="str">
            <v>营业款结算</v>
          </cell>
          <cell r="I1" t="str">
            <v>坏账</v>
          </cell>
          <cell r="J1" t="str">
            <v>信用减值损失</v>
          </cell>
          <cell r="K1" t="str">
            <v>产数应收</v>
          </cell>
          <cell r="L1" t="str">
            <v>预收账款(取负号）</v>
          </cell>
          <cell r="M1" t="str">
            <v>合同负债（取负号）</v>
          </cell>
          <cell r="N1" t="str">
            <v>应收账款总额</v>
          </cell>
          <cell r="O1" t="str">
            <v>应收账款净额</v>
          </cell>
          <cell r="P1" t="str">
            <v>产数应收总额</v>
          </cell>
          <cell r="Q1" t="str">
            <v>基础应收</v>
          </cell>
          <cell r="R1" t="str">
            <v>预收账款</v>
          </cell>
          <cell r="S1" t="str">
            <v>资源型应收账款总额</v>
          </cell>
          <cell r="T1" t="str">
            <v>产数ICT应收账款总额</v>
          </cell>
          <cell r="U1" t="str">
            <v>校验项1</v>
          </cell>
          <cell r="V1" t="str">
            <v>校验项2</v>
          </cell>
        </row>
        <row r="1">
          <cell r="X1" t="str">
            <v>IDC业务款</v>
          </cell>
          <cell r="Y1" t="str">
            <v>数字平台及集成业务款</v>
          </cell>
          <cell r="Z1" t="str">
            <v>组网专线业务款</v>
          </cell>
          <cell r="AA1" t="str">
            <v>其他</v>
          </cell>
        </row>
        <row r="2">
          <cell r="C2" t="str">
            <v>1122*</v>
          </cell>
          <cell r="D2" t="str">
            <v>1121*</v>
          </cell>
          <cell r="E2" t="str">
            <v>1126*</v>
          </cell>
          <cell r="F2">
            <v>1126010000</v>
          </cell>
          <cell r="G2">
            <v>1126020000</v>
          </cell>
          <cell r="H2" t="str">
            <v>1124*</v>
          </cell>
          <cell r="I2" t="str">
            <v>1231*</v>
          </cell>
          <cell r="J2" t="str">
            <v>6702*</v>
          </cell>
          <cell r="K2" t="str">
            <v>112203*</v>
          </cell>
          <cell r="L2" t="str">
            <v>2203*</v>
          </cell>
          <cell r="M2" t="str">
            <v>2204*</v>
          </cell>
        </row>
        <row r="2">
          <cell r="S2" t="str">
            <v>资源型应收=组网专线+IDC</v>
          </cell>
          <cell r="T2" t="str">
            <v>ICT应收=产数应收+合同资产-资源应收</v>
          </cell>
        </row>
        <row r="2">
          <cell r="X2" t="str">
            <v>1122030100</v>
          </cell>
          <cell r="Y2" t="str">
            <v>1122030200</v>
          </cell>
          <cell r="Z2" t="str">
            <v>1122030300</v>
          </cell>
          <cell r="AA2" t="str">
            <v>1122039900</v>
          </cell>
        </row>
        <row r="3">
          <cell r="B3" t="str">
            <v>省公司本部</v>
          </cell>
          <cell r="C3">
            <v>41894.56211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3959.586201</v>
          </cell>
          <cell r="I3">
            <v>-4819.571229</v>
          </cell>
          <cell r="J3">
            <v>305.045556</v>
          </cell>
          <cell r="K3">
            <v>27457.557046</v>
          </cell>
          <cell r="L3">
            <v>22768.710735</v>
          </cell>
          <cell r="M3">
            <v>1042.964549</v>
          </cell>
          <cell r="N3">
            <v>45854.148311</v>
          </cell>
          <cell r="O3">
            <v>37074.990881</v>
          </cell>
          <cell r="P3">
            <v>27457.557046</v>
          </cell>
          <cell r="Q3">
            <v>18396.591265</v>
          </cell>
          <cell r="R3">
            <v>23811.675284</v>
          </cell>
          <cell r="S3">
            <v>34432.608813</v>
          </cell>
          <cell r="T3">
            <v>-6975.051767</v>
          </cell>
          <cell r="U3">
            <v>0</v>
          </cell>
          <cell r="V3">
            <v>0</v>
          </cell>
          <cell r="W3" t="str">
            <v>省公司本部</v>
          </cell>
          <cell r="X3">
            <v>32034.704225</v>
          </cell>
          <cell r="Y3">
            <v>-7587.899551</v>
          </cell>
          <cell r="Z3">
            <v>2397.904588</v>
          </cell>
          <cell r="AA3">
            <v>612.847784</v>
          </cell>
        </row>
        <row r="4">
          <cell r="B4" t="str">
            <v>成都</v>
          </cell>
          <cell r="C4">
            <v>68576.26318</v>
          </cell>
          <cell r="D4">
            <v>168.309806</v>
          </cell>
          <cell r="E4">
            <v>12966.868128</v>
          </cell>
          <cell r="F4">
            <v>12966.868128</v>
          </cell>
          <cell r="G4">
            <v>0</v>
          </cell>
          <cell r="H4">
            <v>0</v>
          </cell>
          <cell r="I4">
            <v>-21569.042381</v>
          </cell>
          <cell r="J4">
            <v>1152.414898</v>
          </cell>
          <cell r="K4">
            <v>41853.768527</v>
          </cell>
          <cell r="L4">
            <v>86296.529889</v>
          </cell>
          <cell r="M4">
            <v>2524.2933</v>
          </cell>
          <cell r="N4">
            <v>81543.131308</v>
          </cell>
          <cell r="O4">
            <v>47007.220799</v>
          </cell>
          <cell r="P4">
            <v>54820.636655</v>
          </cell>
          <cell r="Q4">
            <v>26722.494653</v>
          </cell>
          <cell r="R4">
            <v>88820.823189</v>
          </cell>
          <cell r="S4">
            <v>7073.83022</v>
          </cell>
          <cell r="T4">
            <v>47746.806435</v>
          </cell>
          <cell r="U4">
            <v>0</v>
          </cell>
          <cell r="V4">
            <v>0</v>
          </cell>
          <cell r="W4" t="str">
            <v>成都</v>
          </cell>
          <cell r="X4">
            <v>85.208063</v>
          </cell>
          <cell r="Y4">
            <v>29427.27156</v>
          </cell>
          <cell r="Z4">
            <v>6988.622157</v>
          </cell>
          <cell r="AA4">
            <v>5352.666747</v>
          </cell>
        </row>
        <row r="5">
          <cell r="B5" t="str">
            <v>天府新区分公司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天府新区分公司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B6" t="str">
            <v>自贡</v>
          </cell>
          <cell r="C6">
            <v>6552.045234</v>
          </cell>
          <cell r="D6">
            <v>0</v>
          </cell>
          <cell r="E6">
            <v>1973.548941</v>
          </cell>
          <cell r="F6">
            <v>1973.548941</v>
          </cell>
          <cell r="G6">
            <v>0</v>
          </cell>
          <cell r="H6">
            <v>0</v>
          </cell>
          <cell r="I6">
            <v>-3459.029977</v>
          </cell>
          <cell r="J6">
            <v>549.410024</v>
          </cell>
          <cell r="K6">
            <v>4412.428608</v>
          </cell>
          <cell r="L6">
            <v>5764.491365</v>
          </cell>
          <cell r="M6">
            <v>417.276414</v>
          </cell>
          <cell r="N6">
            <v>8525.594175</v>
          </cell>
          <cell r="O6">
            <v>3093.015257</v>
          </cell>
          <cell r="P6">
            <v>6385.977549</v>
          </cell>
          <cell r="Q6">
            <v>2139.616626</v>
          </cell>
          <cell r="R6">
            <v>6181.767779</v>
          </cell>
          <cell r="S6">
            <v>1598.07306</v>
          </cell>
          <cell r="T6">
            <v>4787.904489</v>
          </cell>
          <cell r="U6">
            <v>0</v>
          </cell>
          <cell r="V6">
            <v>0</v>
          </cell>
          <cell r="W6" t="str">
            <v>自贡</v>
          </cell>
          <cell r="X6">
            <v>8.639556</v>
          </cell>
          <cell r="Y6">
            <v>2646.150865</v>
          </cell>
          <cell r="Z6">
            <v>1589.433504</v>
          </cell>
          <cell r="AA6">
            <v>168.204683</v>
          </cell>
        </row>
        <row r="7">
          <cell r="B7" t="str">
            <v>攀枝花</v>
          </cell>
          <cell r="C7">
            <v>4775.053452</v>
          </cell>
          <cell r="D7">
            <v>0</v>
          </cell>
          <cell r="E7">
            <v>622.896318</v>
          </cell>
          <cell r="F7">
            <v>622.896318</v>
          </cell>
          <cell r="G7">
            <v>0</v>
          </cell>
          <cell r="H7">
            <v>46.834929</v>
          </cell>
          <cell r="I7">
            <v>-2504.893264</v>
          </cell>
          <cell r="J7">
            <v>45.061715</v>
          </cell>
          <cell r="K7">
            <v>2385.625756</v>
          </cell>
          <cell r="L7">
            <v>4202.982764</v>
          </cell>
          <cell r="M7">
            <v>32.757751</v>
          </cell>
          <cell r="N7">
            <v>5444.784699</v>
          </cell>
          <cell r="O7">
            <v>2270.160188</v>
          </cell>
          <cell r="P7">
            <v>3008.522074</v>
          </cell>
          <cell r="Q7">
            <v>2436.262625</v>
          </cell>
          <cell r="R7">
            <v>4235.740515</v>
          </cell>
          <cell r="S7">
            <v>642.026517</v>
          </cell>
          <cell r="T7">
            <v>2366.495557</v>
          </cell>
          <cell r="U7">
            <v>0</v>
          </cell>
          <cell r="V7">
            <v>0</v>
          </cell>
          <cell r="W7" t="str">
            <v>攀枝花</v>
          </cell>
          <cell r="X7">
            <v>29.511802</v>
          </cell>
          <cell r="Y7">
            <v>1600.847054</v>
          </cell>
          <cell r="Z7">
            <v>612.514715</v>
          </cell>
          <cell r="AA7">
            <v>142.752185</v>
          </cell>
        </row>
        <row r="8">
          <cell r="B8" t="str">
            <v>泸州</v>
          </cell>
          <cell r="C8">
            <v>11042.956029</v>
          </cell>
          <cell r="D8">
            <v>35.6</v>
          </cell>
          <cell r="E8">
            <v>1479.272772</v>
          </cell>
          <cell r="F8">
            <v>1479.272772</v>
          </cell>
          <cell r="G8">
            <v>0</v>
          </cell>
          <cell r="H8">
            <v>0</v>
          </cell>
          <cell r="I8">
            <v>-2685.443353</v>
          </cell>
          <cell r="J8">
            <v>584.473499</v>
          </cell>
          <cell r="K8">
            <v>6108.7575</v>
          </cell>
          <cell r="L8">
            <v>7513.832375</v>
          </cell>
          <cell r="M8">
            <v>336.330044</v>
          </cell>
          <cell r="N8">
            <v>12522.228801</v>
          </cell>
          <cell r="O8">
            <v>8357.512676</v>
          </cell>
          <cell r="P8">
            <v>7588.030272</v>
          </cell>
          <cell r="Q8">
            <v>4934.198529</v>
          </cell>
          <cell r="R8">
            <v>7850.162419</v>
          </cell>
          <cell r="S8">
            <v>967.512683</v>
          </cell>
          <cell r="T8">
            <v>6620.517589</v>
          </cell>
          <cell r="U8">
            <v>0</v>
          </cell>
          <cell r="V8">
            <v>0</v>
          </cell>
          <cell r="W8" t="str">
            <v>泸州</v>
          </cell>
          <cell r="X8">
            <v>141.115479</v>
          </cell>
          <cell r="Y8">
            <v>4222.985855</v>
          </cell>
          <cell r="Z8">
            <v>826.397204</v>
          </cell>
          <cell r="AA8">
            <v>918.258962</v>
          </cell>
        </row>
        <row r="9">
          <cell r="B9" t="str">
            <v>德阳</v>
          </cell>
          <cell r="C9">
            <v>9589.546306</v>
          </cell>
          <cell r="D9">
            <v>187.4</v>
          </cell>
          <cell r="E9">
            <v>519.166676</v>
          </cell>
          <cell r="F9">
            <v>519.166676</v>
          </cell>
          <cell r="G9">
            <v>0</v>
          </cell>
          <cell r="H9">
            <v>95.666976</v>
          </cell>
          <cell r="I9">
            <v>-2351.198461</v>
          </cell>
          <cell r="J9">
            <v>5.03496999999999</v>
          </cell>
          <cell r="K9">
            <v>6752.869566</v>
          </cell>
          <cell r="L9">
            <v>8368.711336</v>
          </cell>
          <cell r="M9">
            <v>76.399003</v>
          </cell>
          <cell r="N9">
            <v>10204.379958</v>
          </cell>
          <cell r="O9">
            <v>7238.347845</v>
          </cell>
          <cell r="P9">
            <v>7272.036242</v>
          </cell>
          <cell r="Q9">
            <v>2932.343716</v>
          </cell>
          <cell r="R9">
            <v>8445.110339</v>
          </cell>
          <cell r="S9">
            <v>1355.117522</v>
          </cell>
          <cell r="T9">
            <v>5916.91872</v>
          </cell>
          <cell r="U9">
            <v>0</v>
          </cell>
          <cell r="V9">
            <v>0</v>
          </cell>
          <cell r="W9" t="str">
            <v>德阳</v>
          </cell>
          <cell r="X9">
            <v>414.786864</v>
          </cell>
          <cell r="Y9">
            <v>4991.294972</v>
          </cell>
          <cell r="Z9">
            <v>940.330658</v>
          </cell>
          <cell r="AA9">
            <v>406.457072</v>
          </cell>
        </row>
        <row r="10">
          <cell r="B10" t="str">
            <v>绵阳</v>
          </cell>
          <cell r="C10">
            <v>10426.33206</v>
          </cell>
          <cell r="D10">
            <v>18.708067</v>
          </cell>
          <cell r="E10">
            <v>482</v>
          </cell>
          <cell r="F10">
            <v>482</v>
          </cell>
          <cell r="G10">
            <v>0</v>
          </cell>
          <cell r="H10">
            <v>0</v>
          </cell>
          <cell r="I10">
            <v>-1972.642293</v>
          </cell>
          <cell r="J10">
            <v>291.050386</v>
          </cell>
          <cell r="K10">
            <v>5052.935478</v>
          </cell>
          <cell r="L10">
            <v>10962.920606</v>
          </cell>
          <cell r="M10">
            <v>174.713682</v>
          </cell>
          <cell r="N10">
            <v>10908.33206</v>
          </cell>
          <cell r="O10">
            <v>8453.689767</v>
          </cell>
          <cell r="P10">
            <v>5534.935478</v>
          </cell>
          <cell r="Q10">
            <v>5373.396582</v>
          </cell>
          <cell r="R10">
            <v>11137.634288</v>
          </cell>
          <cell r="S10">
            <v>1019.308391</v>
          </cell>
          <cell r="T10">
            <v>4515.627087</v>
          </cell>
          <cell r="U10">
            <v>0</v>
          </cell>
          <cell r="V10">
            <v>0</v>
          </cell>
          <cell r="W10" t="str">
            <v>绵阳</v>
          </cell>
          <cell r="X10">
            <v>111.582518</v>
          </cell>
          <cell r="Y10">
            <v>3319.054741</v>
          </cell>
          <cell r="Z10">
            <v>907.725873</v>
          </cell>
          <cell r="AA10">
            <v>714.572346</v>
          </cell>
        </row>
        <row r="11">
          <cell r="B11" t="str">
            <v>广元</v>
          </cell>
          <cell r="C11">
            <v>5296.101976</v>
          </cell>
          <cell r="D11">
            <v>0</v>
          </cell>
          <cell r="E11">
            <v>342.1</v>
          </cell>
          <cell r="F11">
            <v>342.1</v>
          </cell>
          <cell r="G11">
            <v>0</v>
          </cell>
          <cell r="H11">
            <v>0</v>
          </cell>
          <cell r="I11">
            <v>-1016.253416</v>
          </cell>
          <cell r="J11">
            <v>-195.327263</v>
          </cell>
          <cell r="K11">
            <v>2582.332817</v>
          </cell>
          <cell r="L11">
            <v>4203.720075</v>
          </cell>
          <cell r="M11">
            <v>243.887791</v>
          </cell>
          <cell r="N11">
            <v>5638.201976</v>
          </cell>
          <cell r="O11">
            <v>4279.84856</v>
          </cell>
          <cell r="P11">
            <v>2924.432817</v>
          </cell>
          <cell r="Q11">
            <v>2713.769159</v>
          </cell>
          <cell r="R11">
            <v>4447.607866</v>
          </cell>
          <cell r="S11">
            <v>620.923377</v>
          </cell>
          <cell r="T11">
            <v>2303.50944</v>
          </cell>
          <cell r="U11">
            <v>0</v>
          </cell>
          <cell r="V11">
            <v>0</v>
          </cell>
          <cell r="W11" t="str">
            <v>广元</v>
          </cell>
          <cell r="X11">
            <v>53.436546</v>
          </cell>
          <cell r="Y11">
            <v>1856.983421</v>
          </cell>
          <cell r="Z11">
            <v>567.486831</v>
          </cell>
          <cell r="AA11">
            <v>104.426019</v>
          </cell>
        </row>
        <row r="12">
          <cell r="B12" t="str">
            <v>遂宁</v>
          </cell>
          <cell r="C12">
            <v>5708.975794</v>
          </cell>
          <cell r="D12">
            <v>0</v>
          </cell>
          <cell r="E12">
            <v>12</v>
          </cell>
          <cell r="F12">
            <v>12</v>
          </cell>
          <cell r="G12">
            <v>0</v>
          </cell>
          <cell r="H12">
            <v>0</v>
          </cell>
          <cell r="I12">
            <v>-876.566109</v>
          </cell>
          <cell r="J12">
            <v>54.63064</v>
          </cell>
          <cell r="K12">
            <v>3308.479684</v>
          </cell>
          <cell r="L12">
            <v>2454.3938</v>
          </cell>
          <cell r="M12">
            <v>250.088485</v>
          </cell>
          <cell r="N12">
            <v>5720.975794</v>
          </cell>
          <cell r="O12">
            <v>4832.409685</v>
          </cell>
          <cell r="P12">
            <v>3320.479684</v>
          </cell>
          <cell r="Q12">
            <v>2400.49611</v>
          </cell>
          <cell r="R12">
            <v>2704.482285</v>
          </cell>
          <cell r="S12">
            <v>609.429813</v>
          </cell>
          <cell r="T12">
            <v>2711.049871</v>
          </cell>
          <cell r="U12">
            <v>0</v>
          </cell>
          <cell r="V12">
            <v>0</v>
          </cell>
          <cell r="W12" t="str">
            <v>遂宁</v>
          </cell>
          <cell r="X12">
            <v>22.675604</v>
          </cell>
          <cell r="Y12">
            <v>2548.572888</v>
          </cell>
          <cell r="Z12">
            <v>586.754209</v>
          </cell>
          <cell r="AA12">
            <v>150.476983</v>
          </cell>
        </row>
        <row r="13">
          <cell r="B13" t="str">
            <v>内江</v>
          </cell>
          <cell r="C13">
            <v>4857.686116</v>
          </cell>
          <cell r="D13">
            <v>0</v>
          </cell>
          <cell r="E13">
            <v>1634.6326</v>
          </cell>
          <cell r="F13">
            <v>1634.6326</v>
          </cell>
          <cell r="G13">
            <v>0</v>
          </cell>
          <cell r="H13">
            <v>0</v>
          </cell>
          <cell r="I13">
            <v>-1636.145365</v>
          </cell>
          <cell r="J13">
            <v>-365.895392</v>
          </cell>
          <cell r="K13">
            <v>2320.002832</v>
          </cell>
          <cell r="L13">
            <v>4538.078973</v>
          </cell>
          <cell r="M13">
            <v>-121.779171</v>
          </cell>
          <cell r="N13">
            <v>6492.318716</v>
          </cell>
          <cell r="O13">
            <v>3221.540751</v>
          </cell>
          <cell r="P13">
            <v>3954.635432</v>
          </cell>
          <cell r="Q13">
            <v>2537.683284</v>
          </cell>
          <cell r="R13">
            <v>4416.299802</v>
          </cell>
          <cell r="S13">
            <v>402.614606</v>
          </cell>
          <cell r="T13">
            <v>3552.020826</v>
          </cell>
          <cell r="U13">
            <v>0</v>
          </cell>
          <cell r="V13">
            <v>0</v>
          </cell>
          <cell r="W13" t="str">
            <v>内江</v>
          </cell>
          <cell r="X13">
            <v>4.488862</v>
          </cell>
          <cell r="Y13">
            <v>1782.067814</v>
          </cell>
          <cell r="Z13">
            <v>398.125744</v>
          </cell>
          <cell r="AA13">
            <v>135.320412</v>
          </cell>
        </row>
        <row r="14">
          <cell r="B14" t="str">
            <v>乐山</v>
          </cell>
          <cell r="C14">
            <v>11381.6084</v>
          </cell>
          <cell r="D14">
            <v>0</v>
          </cell>
          <cell r="E14">
            <v>1104</v>
          </cell>
          <cell r="F14">
            <v>1104</v>
          </cell>
          <cell r="G14">
            <v>0</v>
          </cell>
          <cell r="H14">
            <v>0</v>
          </cell>
          <cell r="I14">
            <v>-2227.901096</v>
          </cell>
          <cell r="J14">
            <v>390.627627</v>
          </cell>
          <cell r="K14">
            <v>8041.535593</v>
          </cell>
          <cell r="L14">
            <v>6905.190055</v>
          </cell>
          <cell r="M14">
            <v>44.306774</v>
          </cell>
          <cell r="N14">
            <v>12485.6084</v>
          </cell>
          <cell r="O14">
            <v>9153.707304</v>
          </cell>
          <cell r="P14">
            <v>9145.535593</v>
          </cell>
          <cell r="Q14">
            <v>3340.072807</v>
          </cell>
          <cell r="R14">
            <v>6949.496829</v>
          </cell>
          <cell r="S14">
            <v>1875.23728</v>
          </cell>
          <cell r="T14">
            <v>7270.298313</v>
          </cell>
          <cell r="U14">
            <v>0</v>
          </cell>
          <cell r="V14">
            <v>0</v>
          </cell>
          <cell r="W14" t="str">
            <v>乐山</v>
          </cell>
          <cell r="X14">
            <v>125.78639</v>
          </cell>
          <cell r="Y14">
            <v>5763.974043</v>
          </cell>
          <cell r="Z14">
            <v>1749.45089</v>
          </cell>
          <cell r="AA14">
            <v>402.32427</v>
          </cell>
        </row>
        <row r="15">
          <cell r="B15" t="str">
            <v>南充</v>
          </cell>
          <cell r="C15">
            <v>11135.005008</v>
          </cell>
          <cell r="D15">
            <v>0</v>
          </cell>
          <cell r="E15">
            <v>2640.577787</v>
          </cell>
          <cell r="F15">
            <v>2640.577787</v>
          </cell>
          <cell r="G15">
            <v>0</v>
          </cell>
          <cell r="H15">
            <v>0</v>
          </cell>
          <cell r="I15">
            <v>-3060.908945</v>
          </cell>
          <cell r="J15">
            <v>596.689917</v>
          </cell>
          <cell r="K15">
            <v>4318.689161</v>
          </cell>
          <cell r="L15">
            <v>7940.942375</v>
          </cell>
          <cell r="M15">
            <v>-234.524834</v>
          </cell>
          <cell r="N15">
            <v>13775.582795</v>
          </cell>
          <cell r="O15">
            <v>8074.096063</v>
          </cell>
          <cell r="P15">
            <v>6959.266948</v>
          </cell>
          <cell r="Q15">
            <v>6816.315847</v>
          </cell>
          <cell r="R15">
            <v>7706.417541</v>
          </cell>
          <cell r="S15">
            <v>845.628923</v>
          </cell>
          <cell r="T15">
            <v>6113.638025</v>
          </cell>
          <cell r="U15">
            <v>0</v>
          </cell>
          <cell r="V15">
            <v>0</v>
          </cell>
          <cell r="W15" t="str">
            <v>南充</v>
          </cell>
          <cell r="X15">
            <v>-32.283498</v>
          </cell>
          <cell r="Y15">
            <v>3209.161927</v>
          </cell>
          <cell r="Z15">
            <v>877.912421</v>
          </cell>
          <cell r="AA15">
            <v>263.898311</v>
          </cell>
        </row>
        <row r="16">
          <cell r="B16" t="str">
            <v>眉山</v>
          </cell>
          <cell r="C16">
            <v>3698.425477</v>
          </cell>
          <cell r="D16">
            <v>0</v>
          </cell>
          <cell r="E16">
            <v>987.522191</v>
          </cell>
          <cell r="F16">
            <v>987.522191</v>
          </cell>
          <cell r="G16">
            <v>0</v>
          </cell>
          <cell r="H16">
            <v>0</v>
          </cell>
          <cell r="I16">
            <v>-888.345374</v>
          </cell>
          <cell r="J16">
            <v>82.655001</v>
          </cell>
          <cell r="K16">
            <v>1181.859257</v>
          </cell>
          <cell r="L16">
            <v>7584.224396</v>
          </cell>
          <cell r="M16">
            <v>138.294933</v>
          </cell>
          <cell r="N16">
            <v>4685.947668</v>
          </cell>
          <cell r="O16">
            <v>2810.080103</v>
          </cell>
          <cell r="P16">
            <v>2169.381448</v>
          </cell>
          <cell r="Q16">
            <v>2516.56622</v>
          </cell>
          <cell r="R16">
            <v>7722.519329</v>
          </cell>
          <cell r="S16">
            <v>309.088624</v>
          </cell>
          <cell r="T16">
            <v>1860.292824</v>
          </cell>
          <cell r="U16">
            <v>0</v>
          </cell>
          <cell r="V16">
            <v>0</v>
          </cell>
          <cell r="W16" t="str">
            <v>眉山</v>
          </cell>
          <cell r="X16">
            <v>21.018604</v>
          </cell>
          <cell r="Y16">
            <v>643.243546</v>
          </cell>
          <cell r="Z16">
            <v>288.07002</v>
          </cell>
          <cell r="AA16">
            <v>229.527087</v>
          </cell>
        </row>
        <row r="17">
          <cell r="B17" t="str">
            <v>宜宾</v>
          </cell>
          <cell r="C17">
            <v>6801.277477</v>
          </cell>
          <cell r="D17">
            <v>0</v>
          </cell>
          <cell r="E17">
            <v>145.026831</v>
          </cell>
          <cell r="F17">
            <v>145.026831</v>
          </cell>
          <cell r="G17">
            <v>0</v>
          </cell>
          <cell r="H17">
            <v>0</v>
          </cell>
          <cell r="I17">
            <v>-1601.177309</v>
          </cell>
          <cell r="J17">
            <v>-157.976473</v>
          </cell>
          <cell r="K17">
            <v>3837.82927</v>
          </cell>
          <cell r="L17">
            <v>7345.130378</v>
          </cell>
          <cell r="M17">
            <v>-14.860295</v>
          </cell>
          <cell r="N17">
            <v>6946.304308</v>
          </cell>
          <cell r="O17">
            <v>5200.100168</v>
          </cell>
          <cell r="P17">
            <v>3982.856101</v>
          </cell>
          <cell r="Q17">
            <v>2963.448207</v>
          </cell>
          <cell r="R17">
            <v>7330.270083</v>
          </cell>
          <cell r="S17">
            <v>783.566946</v>
          </cell>
          <cell r="T17">
            <v>3199.289155</v>
          </cell>
          <cell r="U17">
            <v>0</v>
          </cell>
          <cell r="V17">
            <v>0</v>
          </cell>
          <cell r="W17" t="str">
            <v>宜宾</v>
          </cell>
          <cell r="X17">
            <v>34.563039</v>
          </cell>
          <cell r="Y17">
            <v>2632.732996</v>
          </cell>
          <cell r="Z17">
            <v>749.003907</v>
          </cell>
          <cell r="AA17">
            <v>421.529328</v>
          </cell>
        </row>
        <row r="18">
          <cell r="B18" t="str">
            <v>广安</v>
          </cell>
          <cell r="C18">
            <v>5840.086378</v>
          </cell>
          <cell r="D18">
            <v>0</v>
          </cell>
          <cell r="E18">
            <v>49.967942</v>
          </cell>
          <cell r="F18">
            <v>49.967942</v>
          </cell>
          <cell r="G18">
            <v>0</v>
          </cell>
          <cell r="H18">
            <v>0</v>
          </cell>
          <cell r="I18">
            <v>-1640.557952</v>
          </cell>
          <cell r="J18">
            <v>254.263623</v>
          </cell>
          <cell r="K18">
            <v>3902.474825</v>
          </cell>
          <cell r="L18">
            <v>3422.193343</v>
          </cell>
          <cell r="M18">
            <v>-0.499973</v>
          </cell>
          <cell r="N18">
            <v>5890.05432</v>
          </cell>
          <cell r="O18">
            <v>4199.528426</v>
          </cell>
          <cell r="P18">
            <v>3952.442767</v>
          </cell>
          <cell r="Q18">
            <v>1937.611553</v>
          </cell>
          <cell r="R18">
            <v>3421.69337</v>
          </cell>
          <cell r="S18">
            <v>1254.00127</v>
          </cell>
          <cell r="T18">
            <v>2698.441497</v>
          </cell>
          <cell r="U18">
            <v>0</v>
          </cell>
          <cell r="V18">
            <v>0</v>
          </cell>
          <cell r="W18" t="str">
            <v>广安</v>
          </cell>
          <cell r="X18">
            <v>8.356897</v>
          </cell>
          <cell r="Y18">
            <v>2383.045201</v>
          </cell>
          <cell r="Z18">
            <v>1245.644373</v>
          </cell>
          <cell r="AA18">
            <v>265.428354</v>
          </cell>
        </row>
        <row r="19">
          <cell r="B19" t="str">
            <v>达州</v>
          </cell>
          <cell r="C19">
            <v>7769.664365</v>
          </cell>
          <cell r="D19">
            <v>0</v>
          </cell>
          <cell r="E19">
            <v>2246.7506</v>
          </cell>
          <cell r="F19">
            <v>2246.7506</v>
          </cell>
          <cell r="G19">
            <v>0</v>
          </cell>
          <cell r="H19">
            <v>0</v>
          </cell>
          <cell r="I19">
            <v>-2735.448721</v>
          </cell>
          <cell r="J19">
            <v>-176.715904</v>
          </cell>
          <cell r="K19">
            <v>2769.153977</v>
          </cell>
          <cell r="L19">
            <v>6002.378093</v>
          </cell>
          <cell r="M19">
            <v>798.979568</v>
          </cell>
          <cell r="N19">
            <v>10016.414965</v>
          </cell>
          <cell r="O19">
            <v>5034.215644</v>
          </cell>
          <cell r="P19">
            <v>5015.904577</v>
          </cell>
          <cell r="Q19">
            <v>5000.510388</v>
          </cell>
          <cell r="R19">
            <v>6801.357661</v>
          </cell>
          <cell r="S19">
            <v>927.189146</v>
          </cell>
          <cell r="T19">
            <v>4088.715431</v>
          </cell>
          <cell r="U19">
            <v>0</v>
          </cell>
          <cell r="V19">
            <v>0</v>
          </cell>
          <cell r="W19" t="str">
            <v>达州</v>
          </cell>
          <cell r="X19">
            <v>81.389219</v>
          </cell>
          <cell r="Y19">
            <v>1354.000739</v>
          </cell>
          <cell r="Z19">
            <v>845.799927</v>
          </cell>
          <cell r="AA19">
            <v>487.964092</v>
          </cell>
        </row>
        <row r="20">
          <cell r="B20" t="str">
            <v>雅安</v>
          </cell>
          <cell r="C20">
            <v>2575.763011</v>
          </cell>
          <cell r="D20">
            <v>0</v>
          </cell>
          <cell r="E20">
            <v>311.245369</v>
          </cell>
          <cell r="F20">
            <v>311.245369</v>
          </cell>
          <cell r="G20">
            <v>0</v>
          </cell>
          <cell r="H20">
            <v>0</v>
          </cell>
          <cell r="I20">
            <v>-592.848765</v>
          </cell>
          <cell r="J20">
            <v>105.160789</v>
          </cell>
          <cell r="K20">
            <v>1107.964369</v>
          </cell>
          <cell r="L20">
            <v>3230.925152</v>
          </cell>
          <cell r="M20">
            <v>70.239639</v>
          </cell>
          <cell r="N20">
            <v>2887.00838</v>
          </cell>
          <cell r="O20">
            <v>1982.914246</v>
          </cell>
          <cell r="P20">
            <v>1419.209738</v>
          </cell>
          <cell r="Q20">
            <v>1467.798642</v>
          </cell>
          <cell r="R20">
            <v>3301.164791</v>
          </cell>
          <cell r="S20">
            <v>1186.363148</v>
          </cell>
          <cell r="T20">
            <v>232.84659</v>
          </cell>
          <cell r="U20">
            <v>0</v>
          </cell>
          <cell r="V20">
            <v>0</v>
          </cell>
          <cell r="W20" t="str">
            <v>雅安</v>
          </cell>
          <cell r="X20">
            <v>759.38824</v>
          </cell>
          <cell r="Y20">
            <v>-189.281223</v>
          </cell>
          <cell r="Z20">
            <v>426.974908</v>
          </cell>
          <cell r="AA20">
            <v>110.882444</v>
          </cell>
        </row>
        <row r="21">
          <cell r="B21" t="str">
            <v>巴中</v>
          </cell>
          <cell r="C21">
            <v>7879.287266</v>
          </cell>
          <cell r="D21">
            <v>0</v>
          </cell>
          <cell r="E21">
            <v>1827.1421</v>
          </cell>
          <cell r="F21">
            <v>1827.1421</v>
          </cell>
          <cell r="G21">
            <v>0</v>
          </cell>
          <cell r="H21">
            <v>0</v>
          </cell>
          <cell r="I21">
            <v>-1352.908887</v>
          </cell>
          <cell r="J21">
            <v>16.068724</v>
          </cell>
          <cell r="K21">
            <v>4841.217206</v>
          </cell>
          <cell r="L21">
            <v>6324.896658</v>
          </cell>
          <cell r="M21">
            <v>7.926828</v>
          </cell>
          <cell r="N21">
            <v>9706.429366</v>
          </cell>
          <cell r="O21">
            <v>6526.378379</v>
          </cell>
          <cell r="P21">
            <v>6668.359306</v>
          </cell>
          <cell r="Q21">
            <v>3038.07006</v>
          </cell>
          <cell r="R21">
            <v>6332.823486</v>
          </cell>
          <cell r="S21">
            <v>1056.02358</v>
          </cell>
          <cell r="T21">
            <v>5612.335726</v>
          </cell>
          <cell r="U21">
            <v>0</v>
          </cell>
          <cell r="V21">
            <v>0</v>
          </cell>
          <cell r="W21" t="str">
            <v>巴中</v>
          </cell>
          <cell r="X21">
            <v>31.255993</v>
          </cell>
          <cell r="Y21">
            <v>3195.118799</v>
          </cell>
          <cell r="Z21">
            <v>1024.767587</v>
          </cell>
          <cell r="AA21">
            <v>590.074827</v>
          </cell>
        </row>
        <row r="22">
          <cell r="B22" t="str">
            <v>资阳</v>
          </cell>
          <cell r="C22">
            <v>3356.408899</v>
          </cell>
          <cell r="D22">
            <v>0</v>
          </cell>
          <cell r="E22">
            <v>812.876996</v>
          </cell>
          <cell r="F22">
            <v>812.876996</v>
          </cell>
          <cell r="G22">
            <v>0</v>
          </cell>
          <cell r="H22">
            <v>0</v>
          </cell>
          <cell r="I22">
            <v>-756.200679</v>
          </cell>
          <cell r="J22">
            <v>109.306412</v>
          </cell>
          <cell r="K22">
            <v>2140.69255</v>
          </cell>
          <cell r="L22">
            <v>3663.591659</v>
          </cell>
          <cell r="M22">
            <v>4.668298</v>
          </cell>
          <cell r="N22">
            <v>4169.285895</v>
          </cell>
          <cell r="O22">
            <v>2600.20822</v>
          </cell>
          <cell r="P22">
            <v>2953.569546</v>
          </cell>
          <cell r="Q22">
            <v>1215.716349</v>
          </cell>
          <cell r="R22">
            <v>3668.259957</v>
          </cell>
          <cell r="S22">
            <v>311.209103</v>
          </cell>
          <cell r="T22">
            <v>2642.360443</v>
          </cell>
          <cell r="U22">
            <v>0</v>
          </cell>
          <cell r="V22">
            <v>0</v>
          </cell>
          <cell r="W22" t="str">
            <v>资阳</v>
          </cell>
          <cell r="X22">
            <v>3.534761</v>
          </cell>
          <cell r="Y22">
            <v>1642.564659</v>
          </cell>
          <cell r="Z22">
            <v>307.674342</v>
          </cell>
          <cell r="AA22">
            <v>186.918788</v>
          </cell>
        </row>
        <row r="23">
          <cell r="B23" t="str">
            <v>阿坝</v>
          </cell>
          <cell r="C23">
            <v>3351.35995</v>
          </cell>
          <cell r="D23">
            <v>0</v>
          </cell>
          <cell r="E23">
            <v>382.92</v>
          </cell>
          <cell r="F23">
            <v>382.92</v>
          </cell>
          <cell r="G23">
            <v>0</v>
          </cell>
          <cell r="H23">
            <v>0</v>
          </cell>
          <cell r="I23">
            <v>-1177.401318</v>
          </cell>
          <cell r="J23">
            <v>419.203983</v>
          </cell>
          <cell r="K23">
            <v>1608.544241</v>
          </cell>
          <cell r="L23">
            <v>5780.314213</v>
          </cell>
          <cell r="M23">
            <v>443.182966</v>
          </cell>
          <cell r="N23">
            <v>3734.27995</v>
          </cell>
          <cell r="O23">
            <v>2173.958632</v>
          </cell>
          <cell r="P23">
            <v>1991.464241</v>
          </cell>
          <cell r="Q23">
            <v>1742.815709</v>
          </cell>
          <cell r="R23">
            <v>6223.497179</v>
          </cell>
          <cell r="S23">
            <v>941.568569</v>
          </cell>
          <cell r="T23">
            <v>1049.895672</v>
          </cell>
          <cell r="U23">
            <v>0</v>
          </cell>
          <cell r="V23">
            <v>0</v>
          </cell>
          <cell r="W23" t="str">
            <v>阿坝</v>
          </cell>
          <cell r="X23">
            <v>37.777653</v>
          </cell>
          <cell r="Y23">
            <v>573.217053</v>
          </cell>
          <cell r="Z23">
            <v>903.790916</v>
          </cell>
          <cell r="AA23">
            <v>93.758619</v>
          </cell>
        </row>
        <row r="24">
          <cell r="B24" t="str">
            <v>甘孜</v>
          </cell>
          <cell r="C24">
            <v>5216.657474</v>
          </cell>
          <cell r="D24">
            <v>0</v>
          </cell>
          <cell r="E24">
            <v>1048.769125</v>
          </cell>
          <cell r="F24">
            <v>1048.769125</v>
          </cell>
          <cell r="G24">
            <v>0</v>
          </cell>
          <cell r="H24">
            <v>0</v>
          </cell>
          <cell r="I24">
            <v>-2415.470975</v>
          </cell>
          <cell r="J24">
            <v>121.276408</v>
          </cell>
          <cell r="K24">
            <v>3051.270899</v>
          </cell>
          <cell r="L24">
            <v>5724.319878</v>
          </cell>
          <cell r="M24">
            <v>215.897187</v>
          </cell>
          <cell r="N24">
            <v>6265.426599</v>
          </cell>
          <cell r="O24">
            <v>2801.186499</v>
          </cell>
          <cell r="P24">
            <v>4100.040024</v>
          </cell>
          <cell r="Q24">
            <v>2165.386575</v>
          </cell>
          <cell r="R24">
            <v>5940.217065</v>
          </cell>
          <cell r="S24">
            <v>2228.269314</v>
          </cell>
          <cell r="T24">
            <v>1871.77071</v>
          </cell>
          <cell r="U24">
            <v>0</v>
          </cell>
          <cell r="V24">
            <v>0</v>
          </cell>
          <cell r="W24" t="str">
            <v>甘孜</v>
          </cell>
          <cell r="X24">
            <v>1.34745</v>
          </cell>
          <cell r="Y24">
            <v>734.206476</v>
          </cell>
          <cell r="Z24">
            <v>2226.921864</v>
          </cell>
          <cell r="AA24">
            <v>88.795109</v>
          </cell>
        </row>
        <row r="25">
          <cell r="B25" t="str">
            <v>凉山</v>
          </cell>
          <cell r="C25">
            <v>9046.306217</v>
          </cell>
          <cell r="D25">
            <v>0</v>
          </cell>
          <cell r="E25">
            <v>342.3</v>
          </cell>
          <cell r="F25">
            <v>342.3</v>
          </cell>
          <cell r="G25">
            <v>0</v>
          </cell>
          <cell r="H25">
            <v>0</v>
          </cell>
          <cell r="I25">
            <v>-2420.543278</v>
          </cell>
          <cell r="J25">
            <v>188.915981</v>
          </cell>
          <cell r="K25">
            <v>5734.302572</v>
          </cell>
          <cell r="L25">
            <v>10101.622702</v>
          </cell>
          <cell r="M25">
            <v>743.965932</v>
          </cell>
          <cell r="N25">
            <v>9388.606217</v>
          </cell>
          <cell r="O25">
            <v>6625.762939</v>
          </cell>
          <cell r="P25">
            <v>6076.602572</v>
          </cell>
          <cell r="Q25">
            <v>3312.003645</v>
          </cell>
          <cell r="R25">
            <v>10845.588634</v>
          </cell>
          <cell r="S25">
            <v>1857.272344</v>
          </cell>
          <cell r="T25">
            <v>4219.330228</v>
          </cell>
          <cell r="U25">
            <v>0</v>
          </cell>
          <cell r="V25">
            <v>0</v>
          </cell>
          <cell r="W25" t="str">
            <v>凉山</v>
          </cell>
          <cell r="X25">
            <v>5.861953</v>
          </cell>
          <cell r="Y25">
            <v>3541.128549</v>
          </cell>
          <cell r="Z25">
            <v>1851.410391</v>
          </cell>
          <cell r="AA25">
            <v>335.901679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5年2月)"/>
    </sheetNames>
    <sheetDataSet>
      <sheetData sheetId="0" refreshError="1">
        <row r="2">
          <cell r="A2" t="str">
            <v>单位</v>
          </cell>
          <cell r="B2" t="str">
            <v>合计【15期末余额  账龄＜1个月】</v>
          </cell>
          <cell r="C2" t="str">
            <v>合计【16期末余额  1个月≤账龄≤3个月】</v>
          </cell>
          <cell r="D2" t="str">
            <v>合计【17期末余额  3个月＜账龄≤6个月】</v>
          </cell>
          <cell r="E2" t="str">
            <v>合计【18期末余额  6个月＜账龄≤1年】</v>
          </cell>
          <cell r="F2" t="str">
            <v>合计【19期末余额  1年＜账龄≤2年】</v>
          </cell>
          <cell r="G2" t="str">
            <v>合计【20期末余额  2年＜账龄≤3年】</v>
          </cell>
          <cell r="H2" t="str">
            <v>合计【28期末余额 3年＜账龄≤4年】</v>
          </cell>
          <cell r="I2" t="str">
            <v>合计【29期末余额 4年＜账龄≤5年】</v>
          </cell>
          <cell r="J2" t="str">
            <v>合计【30期末余额 5年＜账龄】</v>
          </cell>
          <cell r="K2" t="str">
            <v>合计【21期末余额  合计】</v>
          </cell>
          <cell r="L2" t="str">
            <v>一年以上应收账款</v>
          </cell>
        </row>
        <row r="3">
          <cell r="A3" t="str">
            <v>本部</v>
          </cell>
          <cell r="B3">
            <v>153495832.93</v>
          </cell>
          <cell r="C3">
            <v>159950771.42</v>
          </cell>
          <cell r="D3">
            <v>119452025.57</v>
          </cell>
          <cell r="E3">
            <v>14611063.69</v>
          </cell>
          <cell r="F3">
            <v>1776211.16</v>
          </cell>
          <cell r="G3">
            <v>3198358.1</v>
          </cell>
          <cell r="H3">
            <v>2407345.67</v>
          </cell>
          <cell r="I3">
            <v>1130840.52</v>
          </cell>
          <cell r="J3">
            <v>2519034.05</v>
          </cell>
          <cell r="K3">
            <v>458541483.11</v>
          </cell>
          <cell r="L3">
            <v>11031789.5</v>
          </cell>
        </row>
        <row r="4">
          <cell r="A4" t="str">
            <v>成都</v>
          </cell>
          <cell r="B4">
            <v>226346084.24</v>
          </cell>
          <cell r="C4">
            <v>169870754.22</v>
          </cell>
          <cell r="D4">
            <v>91854273.91</v>
          </cell>
          <cell r="E4">
            <v>40260910.86</v>
          </cell>
          <cell r="F4">
            <v>46315197.24</v>
          </cell>
          <cell r="G4">
            <v>21586007.08</v>
          </cell>
          <cell r="H4">
            <v>15907783.97</v>
          </cell>
          <cell r="I4">
            <v>11832052.89</v>
          </cell>
          <cell r="J4">
            <v>61789567.39</v>
          </cell>
          <cell r="K4">
            <v>685762631.8</v>
          </cell>
          <cell r="L4">
            <v>157430608.57</v>
          </cell>
        </row>
        <row r="5">
          <cell r="A5" t="str">
            <v>天府新区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自贡</v>
          </cell>
          <cell r="B6">
            <v>11849617.31</v>
          </cell>
          <cell r="C6">
            <v>15802069.49</v>
          </cell>
          <cell r="D6">
            <v>9807084.96</v>
          </cell>
          <cell r="E6">
            <v>10360158.97</v>
          </cell>
          <cell r="F6">
            <v>13721368.84</v>
          </cell>
          <cell r="G6">
            <v>2685354.84</v>
          </cell>
          <cell r="H6">
            <v>370823.41</v>
          </cell>
          <cell r="I6">
            <v>350758.52</v>
          </cell>
          <cell r="J6">
            <v>573216</v>
          </cell>
          <cell r="K6">
            <v>65520452.34</v>
          </cell>
          <cell r="L6">
            <v>17701521.61</v>
          </cell>
        </row>
        <row r="7">
          <cell r="A7" t="str">
            <v>攀枝花</v>
          </cell>
          <cell r="B7">
            <v>4183298.71</v>
          </cell>
          <cell r="C7">
            <v>8453879.24</v>
          </cell>
          <cell r="D7">
            <v>2580458.08</v>
          </cell>
          <cell r="E7">
            <v>4063040.02</v>
          </cell>
          <cell r="F7">
            <v>12739400.88</v>
          </cell>
          <cell r="G7">
            <v>14222505.13</v>
          </cell>
          <cell r="H7">
            <v>651717.48</v>
          </cell>
          <cell r="I7">
            <v>273221.98</v>
          </cell>
          <cell r="J7">
            <v>1051362.29</v>
          </cell>
          <cell r="K7">
            <v>48218883.81</v>
          </cell>
          <cell r="L7">
            <v>28938207.76</v>
          </cell>
        </row>
        <row r="8">
          <cell r="A8" t="str">
            <v>泸州</v>
          </cell>
          <cell r="B8">
            <v>30042364.88</v>
          </cell>
          <cell r="C8">
            <v>39122326.75</v>
          </cell>
          <cell r="D8">
            <v>8295186.54</v>
          </cell>
          <cell r="E8">
            <v>14489627.91</v>
          </cell>
          <cell r="F8">
            <v>12601510.04</v>
          </cell>
          <cell r="G8">
            <v>2638622.03</v>
          </cell>
          <cell r="H8">
            <v>1750454.12</v>
          </cell>
          <cell r="I8">
            <v>618281.15</v>
          </cell>
          <cell r="J8">
            <v>871186.87</v>
          </cell>
          <cell r="K8">
            <v>110429560.29</v>
          </cell>
          <cell r="L8">
            <v>18480054.21</v>
          </cell>
        </row>
        <row r="9">
          <cell r="A9" t="str">
            <v>德阳</v>
          </cell>
          <cell r="B9">
            <v>29448490.09</v>
          </cell>
          <cell r="C9">
            <v>34893646.21</v>
          </cell>
          <cell r="D9">
            <v>9078797.32</v>
          </cell>
          <cell r="E9">
            <v>14494604.27</v>
          </cell>
          <cell r="F9">
            <v>5919635.99</v>
          </cell>
          <cell r="G9">
            <v>973546.14</v>
          </cell>
          <cell r="H9">
            <v>598221.82</v>
          </cell>
          <cell r="I9">
            <v>675527.33</v>
          </cell>
          <cell r="J9">
            <v>769663.65</v>
          </cell>
          <cell r="K9">
            <v>96852132.82</v>
          </cell>
          <cell r="L9">
            <v>8936594.93</v>
          </cell>
        </row>
        <row r="10">
          <cell r="A10" t="str">
            <v>绵阳</v>
          </cell>
          <cell r="B10">
            <v>41193526.13</v>
          </cell>
          <cell r="C10">
            <v>30105710.58</v>
          </cell>
          <cell r="D10">
            <v>4586009.93</v>
          </cell>
          <cell r="E10">
            <v>20227447.38</v>
          </cell>
          <cell r="F10">
            <v>3642091.68</v>
          </cell>
          <cell r="G10">
            <v>1755438.87</v>
          </cell>
          <cell r="H10">
            <v>1030724.03</v>
          </cell>
          <cell r="I10">
            <v>843055.65</v>
          </cell>
          <cell r="J10">
            <v>879316.35</v>
          </cell>
          <cell r="K10">
            <v>104263320.6</v>
          </cell>
          <cell r="L10">
            <v>8150626.58</v>
          </cell>
        </row>
        <row r="11">
          <cell r="A11" t="str">
            <v>广元</v>
          </cell>
          <cell r="B11">
            <v>18602851.8</v>
          </cell>
          <cell r="C11">
            <v>19188788.5</v>
          </cell>
          <cell r="D11">
            <v>3251521.14</v>
          </cell>
          <cell r="E11">
            <v>6918912.26</v>
          </cell>
          <cell r="F11">
            <v>2219384.37</v>
          </cell>
          <cell r="G11">
            <v>1248754.49</v>
          </cell>
          <cell r="H11">
            <v>669321.76</v>
          </cell>
          <cell r="I11">
            <v>305543.74</v>
          </cell>
          <cell r="J11">
            <v>555941.7</v>
          </cell>
          <cell r="K11">
            <v>52961019.76</v>
          </cell>
          <cell r="L11">
            <v>4998946.06</v>
          </cell>
        </row>
        <row r="12">
          <cell r="A12" t="str">
            <v>遂宁</v>
          </cell>
          <cell r="B12">
            <v>26350442.12</v>
          </cell>
          <cell r="C12">
            <v>20378694.13</v>
          </cell>
          <cell r="D12">
            <v>2109509.29</v>
          </cell>
          <cell r="E12">
            <v>3338871.89</v>
          </cell>
          <cell r="F12">
            <v>2755104.07</v>
          </cell>
          <cell r="G12">
            <v>618422.03</v>
          </cell>
          <cell r="H12">
            <v>230537.03</v>
          </cell>
          <cell r="I12">
            <v>188952.12</v>
          </cell>
          <cell r="J12">
            <v>1119225.26</v>
          </cell>
          <cell r="K12">
            <v>57089757.94</v>
          </cell>
          <cell r="L12">
            <v>4912240.51</v>
          </cell>
        </row>
        <row r="13">
          <cell r="A13" t="str">
            <v>内江</v>
          </cell>
          <cell r="B13">
            <v>22725804.03</v>
          </cell>
          <cell r="C13">
            <v>15027960.6</v>
          </cell>
          <cell r="D13">
            <v>2259989.3</v>
          </cell>
          <cell r="E13">
            <v>-6228436.23</v>
          </cell>
          <cell r="F13">
            <v>17207131.45</v>
          </cell>
          <cell r="G13">
            <v>-3771482.13</v>
          </cell>
          <cell r="H13">
            <v>442441.03</v>
          </cell>
          <cell r="I13">
            <v>404628.58</v>
          </cell>
          <cell r="J13">
            <v>508824.53</v>
          </cell>
          <cell r="K13">
            <v>48576861.16</v>
          </cell>
          <cell r="L13">
            <v>14791543.46</v>
          </cell>
        </row>
        <row r="14">
          <cell r="A14" t="str">
            <v>乐山</v>
          </cell>
          <cell r="B14">
            <v>35809941.93</v>
          </cell>
          <cell r="C14">
            <v>35179968.62</v>
          </cell>
          <cell r="D14">
            <v>5703318.66</v>
          </cell>
          <cell r="E14">
            <v>19164099.06</v>
          </cell>
          <cell r="F14">
            <v>11878044.37</v>
          </cell>
          <cell r="G14">
            <v>2476852.48</v>
          </cell>
          <cell r="H14">
            <v>906950.47</v>
          </cell>
          <cell r="I14">
            <v>728427.36</v>
          </cell>
          <cell r="J14">
            <v>1968481.05</v>
          </cell>
          <cell r="K14">
            <v>113816084</v>
          </cell>
          <cell r="L14">
            <v>17958755.73</v>
          </cell>
        </row>
        <row r="15">
          <cell r="A15" t="str">
            <v>南充</v>
          </cell>
          <cell r="B15">
            <v>30322652.58</v>
          </cell>
          <cell r="C15">
            <v>30181408.82</v>
          </cell>
          <cell r="D15">
            <v>8852862.78</v>
          </cell>
          <cell r="E15">
            <v>14489296.07</v>
          </cell>
          <cell r="F15">
            <v>23431974.46</v>
          </cell>
          <cell r="G15">
            <v>2758434.03</v>
          </cell>
          <cell r="H15">
            <v>604005.01</v>
          </cell>
          <cell r="I15">
            <v>340702.14</v>
          </cell>
          <cell r="J15">
            <v>368714.19</v>
          </cell>
          <cell r="K15">
            <v>111350050.08</v>
          </cell>
          <cell r="L15">
            <v>27503829.83</v>
          </cell>
        </row>
        <row r="16">
          <cell r="A16" t="str">
            <v>眉山</v>
          </cell>
          <cell r="B16">
            <v>10523822.03</v>
          </cell>
          <cell r="C16">
            <v>18914946.18</v>
          </cell>
          <cell r="D16">
            <v>2432867.24</v>
          </cell>
          <cell r="E16">
            <v>2817752.08</v>
          </cell>
          <cell r="F16">
            <v>1342979.05</v>
          </cell>
          <cell r="G16">
            <v>674002.83</v>
          </cell>
          <cell r="H16">
            <v>169696.9</v>
          </cell>
          <cell r="I16">
            <v>58304.6</v>
          </cell>
          <cell r="J16">
            <v>49883.86</v>
          </cell>
          <cell r="K16">
            <v>36984254.77</v>
          </cell>
          <cell r="L16">
            <v>2294867.24</v>
          </cell>
        </row>
        <row r="17">
          <cell r="A17" t="str">
            <v>宜宾</v>
          </cell>
          <cell r="B17">
            <v>26521112.34</v>
          </cell>
          <cell r="C17">
            <v>21204023.24</v>
          </cell>
          <cell r="D17">
            <v>3151909.44</v>
          </cell>
          <cell r="E17">
            <v>10776069.54</v>
          </cell>
          <cell r="F17">
            <v>3255646.98</v>
          </cell>
          <cell r="G17">
            <v>2229406.67</v>
          </cell>
          <cell r="H17">
            <v>605463.95</v>
          </cell>
          <cell r="I17">
            <v>106828.23</v>
          </cell>
          <cell r="J17">
            <v>162314.38</v>
          </cell>
          <cell r="K17">
            <v>68012774.77</v>
          </cell>
          <cell r="L17">
            <v>6359660.21</v>
          </cell>
        </row>
        <row r="18">
          <cell r="A18" t="str">
            <v>广安</v>
          </cell>
          <cell r="B18">
            <v>20042959.29</v>
          </cell>
          <cell r="C18">
            <v>14507700.11</v>
          </cell>
          <cell r="D18">
            <v>5500688.88</v>
          </cell>
          <cell r="E18">
            <v>12242744.41</v>
          </cell>
          <cell r="F18">
            <v>3431883.3</v>
          </cell>
          <cell r="G18">
            <v>903630.37</v>
          </cell>
          <cell r="H18">
            <v>519376.75</v>
          </cell>
          <cell r="I18">
            <v>583072.31</v>
          </cell>
          <cell r="J18">
            <v>668808.36</v>
          </cell>
          <cell r="K18">
            <v>58400863.78</v>
          </cell>
          <cell r="L18">
            <v>6106771.09</v>
          </cell>
        </row>
        <row r="19">
          <cell r="A19" t="str">
            <v>达州</v>
          </cell>
          <cell r="B19">
            <v>31335777.09</v>
          </cell>
          <cell r="C19">
            <v>13709785.05</v>
          </cell>
          <cell r="D19">
            <v>1403155.83</v>
          </cell>
          <cell r="E19">
            <v>13334926.99</v>
          </cell>
          <cell r="F19">
            <v>4966640.26</v>
          </cell>
          <cell r="G19">
            <v>5691993.83</v>
          </cell>
          <cell r="H19">
            <v>1588171.32</v>
          </cell>
          <cell r="I19">
            <v>1590768.69</v>
          </cell>
          <cell r="J19">
            <v>4075424.59</v>
          </cell>
          <cell r="K19">
            <v>77696643.65</v>
          </cell>
          <cell r="L19">
            <v>17912998.69</v>
          </cell>
        </row>
        <row r="20">
          <cell r="A20" t="str">
            <v>雅安</v>
          </cell>
          <cell r="B20">
            <v>12045505.26</v>
          </cell>
          <cell r="C20">
            <v>7687124.05</v>
          </cell>
          <cell r="D20">
            <v>1530412.69</v>
          </cell>
          <cell r="E20">
            <v>1929832.53</v>
          </cell>
          <cell r="F20">
            <v>1392071.31</v>
          </cell>
          <cell r="G20">
            <v>299094.61</v>
          </cell>
          <cell r="H20">
            <v>183336.7</v>
          </cell>
          <cell r="I20">
            <v>216540.56</v>
          </cell>
          <cell r="J20">
            <v>473712.4</v>
          </cell>
          <cell r="K20">
            <v>25757630.11</v>
          </cell>
          <cell r="L20">
            <v>2564755.58</v>
          </cell>
        </row>
        <row r="21">
          <cell r="A21" t="str">
            <v>巴中</v>
          </cell>
          <cell r="B21">
            <v>27322972.22</v>
          </cell>
          <cell r="C21">
            <v>20634140.02</v>
          </cell>
          <cell r="D21">
            <v>-10962138.63</v>
          </cell>
          <cell r="E21">
            <v>23409046.84</v>
          </cell>
          <cell r="F21">
            <v>14244887.66</v>
          </cell>
          <cell r="G21">
            <v>1793969.3</v>
          </cell>
          <cell r="H21">
            <v>1105073.49</v>
          </cell>
          <cell r="I21">
            <v>599549.36</v>
          </cell>
          <cell r="J21">
            <v>645372.4</v>
          </cell>
          <cell r="K21">
            <v>78792872.66</v>
          </cell>
          <cell r="L21">
            <v>18388852.21</v>
          </cell>
        </row>
        <row r="22">
          <cell r="A22" t="str">
            <v>资阳</v>
          </cell>
          <cell r="B22">
            <v>7028580.19</v>
          </cell>
          <cell r="C22">
            <v>13753391.89</v>
          </cell>
          <cell r="D22">
            <v>1229505.31</v>
          </cell>
          <cell r="E22">
            <v>7342320.87</v>
          </cell>
          <cell r="F22">
            <v>1835300.1</v>
          </cell>
          <cell r="G22">
            <v>788754.05</v>
          </cell>
          <cell r="H22">
            <v>235940.78</v>
          </cell>
          <cell r="I22">
            <v>329445.76</v>
          </cell>
          <cell r="J22">
            <v>1020850.04</v>
          </cell>
          <cell r="K22">
            <v>33564088.99</v>
          </cell>
          <cell r="L22">
            <v>4210290.73</v>
          </cell>
        </row>
        <row r="23">
          <cell r="A23" t="str">
            <v>阿坝</v>
          </cell>
          <cell r="B23">
            <v>8141312.97</v>
          </cell>
          <cell r="C23">
            <v>10851422.79</v>
          </cell>
          <cell r="D23">
            <v>3098396.57</v>
          </cell>
          <cell r="E23">
            <v>5377187.16</v>
          </cell>
          <cell r="F23">
            <v>1831739.63</v>
          </cell>
          <cell r="G23">
            <v>1423647.07</v>
          </cell>
          <cell r="H23">
            <v>1147157.93</v>
          </cell>
          <cell r="I23">
            <v>609860.95</v>
          </cell>
          <cell r="J23">
            <v>1032874.43</v>
          </cell>
          <cell r="K23">
            <v>33513599.5</v>
          </cell>
          <cell r="L23">
            <v>6045280.01</v>
          </cell>
        </row>
        <row r="24">
          <cell r="A24" t="str">
            <v>甘孜</v>
          </cell>
          <cell r="B24">
            <v>19620822.95</v>
          </cell>
          <cell r="C24">
            <v>11869868.51</v>
          </cell>
          <cell r="D24">
            <v>6006083.78</v>
          </cell>
          <cell r="E24">
            <v>6253114.55</v>
          </cell>
          <cell r="F24">
            <v>2007822.79</v>
          </cell>
          <cell r="G24">
            <v>2677118.9</v>
          </cell>
          <cell r="H24">
            <v>686259.25</v>
          </cell>
          <cell r="I24">
            <v>353095.72</v>
          </cell>
          <cell r="J24">
            <v>2692388.29</v>
          </cell>
          <cell r="K24">
            <v>52166574.74</v>
          </cell>
          <cell r="L24">
            <v>8416684.95</v>
          </cell>
        </row>
        <row r="25">
          <cell r="A25" t="str">
            <v>凉山</v>
          </cell>
          <cell r="B25">
            <v>35791816.05</v>
          </cell>
          <cell r="C25">
            <v>17782129.44</v>
          </cell>
          <cell r="D25">
            <v>10006342.56</v>
          </cell>
          <cell r="E25">
            <v>21312161.02</v>
          </cell>
          <cell r="F25">
            <v>2463017.34</v>
          </cell>
          <cell r="G25">
            <v>1178648.14</v>
          </cell>
          <cell r="H25">
            <v>731747.24</v>
          </cell>
          <cell r="I25">
            <v>714411.21</v>
          </cell>
          <cell r="J25">
            <v>482789.17</v>
          </cell>
          <cell r="K25">
            <v>90463062.17</v>
          </cell>
          <cell r="L25">
            <v>5570613.1</v>
          </cell>
        </row>
        <row r="26">
          <cell r="A26" t="str">
            <v>长途传输局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 t="str">
            <v>机动通信局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-2570.83</v>
          </cell>
          <cell r="K27">
            <v>-2570.83</v>
          </cell>
          <cell r="L27">
            <v>-2570.83</v>
          </cell>
        </row>
        <row r="28">
          <cell r="A28" t="str">
            <v>号百中心</v>
          </cell>
          <cell r="B28">
            <v>0</v>
          </cell>
          <cell r="C28">
            <v>77592.13</v>
          </cell>
          <cell r="D28">
            <v>0</v>
          </cell>
          <cell r="E28">
            <v>0</v>
          </cell>
          <cell r="F28">
            <v>0</v>
          </cell>
          <cell r="G28">
            <v>20000</v>
          </cell>
          <cell r="H28">
            <v>0</v>
          </cell>
          <cell r="I28">
            <v>0</v>
          </cell>
          <cell r="J28">
            <v>99886.87</v>
          </cell>
          <cell r="K28">
            <v>197479</v>
          </cell>
          <cell r="L28">
            <v>119886.87</v>
          </cell>
        </row>
        <row r="29">
          <cell r="A29" t="str">
            <v>天翼空间运营中心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5年2月)"/>
    </sheetNames>
    <sheetDataSet>
      <sheetData sheetId="0">
        <row r="2">
          <cell r="A2" t="str">
            <v>单位</v>
          </cell>
          <cell r="B2" t="str">
            <v>应收产业数字化业务款【15期末余额  账龄＜1个月】</v>
          </cell>
          <cell r="C2" t="str">
            <v>应收产业数字化业务款【16期末余额  1个月≤账龄≤3个月】</v>
          </cell>
          <cell r="D2" t="str">
            <v>应收产业数字化业务款【17期末余额  3个月＜账龄≤6个月】</v>
          </cell>
          <cell r="E2" t="str">
            <v>应收产业数字化业务款【18期末余额  6个月＜账龄≤1年】</v>
          </cell>
          <cell r="F2" t="str">
            <v>应收产业数字化业务款【19期末余额  1年＜账龄≤2年】</v>
          </cell>
          <cell r="G2" t="str">
            <v>应收产业数字化业务款【20期末余额  2年＜账龄≤3年】</v>
          </cell>
          <cell r="H2" t="str">
            <v>应收产业数字化业务款【28期末余额 3年＜账龄≤4年】</v>
          </cell>
          <cell r="I2" t="str">
            <v>应收产业数字化业务款【29期末余额 4年＜账龄≤5年】</v>
          </cell>
          <cell r="J2" t="str">
            <v>应收产业数字化业务款【30期末余额 5年＜账龄】</v>
          </cell>
          <cell r="K2" t="str">
            <v>应收产业数字化业务款【21期末余额  合计】</v>
          </cell>
        </row>
        <row r="3">
          <cell r="A3" t="str">
            <v>本部</v>
          </cell>
          <cell r="B3">
            <v>79085308.28</v>
          </cell>
          <cell r="C3">
            <v>147355099.95</v>
          </cell>
          <cell r="D3">
            <v>23579963.62</v>
          </cell>
          <cell r="E3">
            <v>14166281.63</v>
          </cell>
          <cell r="F3">
            <v>1449167.16</v>
          </cell>
          <cell r="G3">
            <v>3208728.23</v>
          </cell>
          <cell r="H3">
            <v>2122829.63</v>
          </cell>
          <cell r="I3">
            <v>1129214.72</v>
          </cell>
          <cell r="J3">
            <v>2478977.24</v>
          </cell>
          <cell r="K3">
            <v>274575570.46</v>
          </cell>
          <cell r="L3">
            <v>10388916.98</v>
          </cell>
        </row>
        <row r="4">
          <cell r="A4" t="str">
            <v>成都</v>
          </cell>
          <cell r="B4">
            <v>100942688.85</v>
          </cell>
          <cell r="C4">
            <v>116514635.98</v>
          </cell>
          <cell r="D4">
            <v>85359131.73</v>
          </cell>
          <cell r="E4">
            <v>32464788.25</v>
          </cell>
          <cell r="F4">
            <v>30494971.39</v>
          </cell>
          <cell r="G4">
            <v>14006732.39</v>
          </cell>
          <cell r="H4">
            <v>5974806.32</v>
          </cell>
          <cell r="I4">
            <v>2780684.94</v>
          </cell>
          <cell r="J4">
            <v>29999245.42</v>
          </cell>
          <cell r="K4">
            <v>418537685.27</v>
          </cell>
          <cell r="L4">
            <v>83256440.46</v>
          </cell>
        </row>
        <row r="5">
          <cell r="A5" t="str">
            <v>天府新区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自贡</v>
          </cell>
          <cell r="B6">
            <v>601347.98</v>
          </cell>
          <cell r="C6">
            <v>11449377.08</v>
          </cell>
          <cell r="D6">
            <v>8672156.95</v>
          </cell>
          <cell r="E6">
            <v>7875720.79</v>
          </cell>
          <cell r="F6">
            <v>12908958.54</v>
          </cell>
          <cell r="G6">
            <v>2404883.88</v>
          </cell>
          <cell r="H6">
            <v>90777.39</v>
          </cell>
          <cell r="I6">
            <v>55739.36</v>
          </cell>
          <cell r="J6">
            <v>65324.11</v>
          </cell>
          <cell r="K6">
            <v>44124286.08</v>
          </cell>
          <cell r="L6">
            <v>15525683.28</v>
          </cell>
        </row>
        <row r="7">
          <cell r="A7" t="str">
            <v>攀枝花</v>
          </cell>
          <cell r="B7">
            <v>1850044.28</v>
          </cell>
          <cell r="C7">
            <v>4542542.49</v>
          </cell>
          <cell r="D7">
            <v>1201468.71</v>
          </cell>
          <cell r="E7">
            <v>2132259.82</v>
          </cell>
          <cell r="F7">
            <v>8106251.54</v>
          </cell>
          <cell r="G7">
            <v>5437246.56</v>
          </cell>
          <cell r="H7">
            <v>399514.39</v>
          </cell>
          <cell r="I7">
            <v>32263.43</v>
          </cell>
          <cell r="J7">
            <v>154666.34</v>
          </cell>
          <cell r="K7">
            <v>23856257.56</v>
          </cell>
          <cell r="L7">
            <v>14129942.26</v>
          </cell>
        </row>
        <row r="8">
          <cell r="A8" t="str">
            <v>泸州</v>
          </cell>
          <cell r="B8">
            <v>6126673.38</v>
          </cell>
          <cell r="C8">
            <v>26302685.22</v>
          </cell>
          <cell r="D8">
            <v>5637715.13</v>
          </cell>
          <cell r="E8">
            <v>11100005.06</v>
          </cell>
          <cell r="F8">
            <v>10028557.8</v>
          </cell>
          <cell r="G8">
            <v>1245213.89</v>
          </cell>
          <cell r="H8">
            <v>352596.41</v>
          </cell>
          <cell r="I8">
            <v>101680.77</v>
          </cell>
          <cell r="J8">
            <v>192447.34</v>
          </cell>
          <cell r="K8">
            <v>61087575</v>
          </cell>
          <cell r="L8">
            <v>11920496.21</v>
          </cell>
        </row>
        <row r="9">
          <cell r="A9" t="str">
            <v>德阳</v>
          </cell>
          <cell r="B9">
            <v>12071594.76</v>
          </cell>
          <cell r="C9">
            <v>27558229.11</v>
          </cell>
          <cell r="D9">
            <v>8146822.01</v>
          </cell>
          <cell r="E9">
            <v>13371611.72</v>
          </cell>
          <cell r="F9">
            <v>5043913.2</v>
          </cell>
          <cell r="G9">
            <v>617491.88</v>
          </cell>
          <cell r="H9">
            <v>182935.54</v>
          </cell>
          <cell r="I9">
            <v>282162.96</v>
          </cell>
          <cell r="J9">
            <v>253934.48</v>
          </cell>
          <cell r="K9">
            <v>67528695.66</v>
          </cell>
          <cell r="L9">
            <v>6380438.06</v>
          </cell>
        </row>
        <row r="10">
          <cell r="A10" t="str">
            <v>绵阳</v>
          </cell>
          <cell r="B10">
            <v>5494878.12</v>
          </cell>
          <cell r="C10">
            <v>20581743.33</v>
          </cell>
          <cell r="D10">
            <v>3313111.95</v>
          </cell>
          <cell r="E10">
            <v>17364594.08</v>
          </cell>
          <cell r="F10">
            <v>1809608.88</v>
          </cell>
          <cell r="G10">
            <v>920348.97</v>
          </cell>
          <cell r="H10">
            <v>364342.39</v>
          </cell>
          <cell r="I10">
            <v>376405.2</v>
          </cell>
          <cell r="J10">
            <v>304321.86</v>
          </cell>
          <cell r="K10">
            <v>50529354.78</v>
          </cell>
          <cell r="L10">
            <v>3775027.3</v>
          </cell>
        </row>
        <row r="11">
          <cell r="A11" t="str">
            <v>广元</v>
          </cell>
          <cell r="B11">
            <v>4099190.77</v>
          </cell>
          <cell r="C11">
            <v>11380519.68</v>
          </cell>
          <cell r="D11">
            <v>2303042.89</v>
          </cell>
          <cell r="E11">
            <v>5634139.47</v>
          </cell>
          <cell r="F11">
            <v>1275901.39</v>
          </cell>
          <cell r="G11">
            <v>747384.86</v>
          </cell>
          <cell r="H11">
            <v>207807.68</v>
          </cell>
          <cell r="I11">
            <v>91331.76</v>
          </cell>
          <cell r="J11">
            <v>84009.67</v>
          </cell>
          <cell r="K11">
            <v>25823328.17</v>
          </cell>
          <cell r="L11">
            <v>2406435.36</v>
          </cell>
        </row>
        <row r="12">
          <cell r="A12" t="str">
            <v>遂宁</v>
          </cell>
          <cell r="B12">
            <v>9963515.21</v>
          </cell>
          <cell r="C12">
            <v>16105825.44</v>
          </cell>
          <cell r="D12">
            <v>1266844.33</v>
          </cell>
          <cell r="E12">
            <v>2719894.24</v>
          </cell>
          <cell r="F12">
            <v>2301591.62</v>
          </cell>
          <cell r="G12">
            <v>458946.49</v>
          </cell>
          <cell r="H12">
            <v>112922.6</v>
          </cell>
          <cell r="I12">
            <v>26799.09</v>
          </cell>
          <cell r="J12">
            <v>128457.82</v>
          </cell>
          <cell r="K12">
            <v>33084796.84</v>
          </cell>
          <cell r="L12">
            <v>3028717.62</v>
          </cell>
        </row>
        <row r="13">
          <cell r="A13" t="str">
            <v>内江</v>
          </cell>
          <cell r="B13">
            <v>7216217.38</v>
          </cell>
          <cell r="C13">
            <v>9583736.23</v>
          </cell>
          <cell r="D13">
            <v>1714221.18</v>
          </cell>
          <cell r="E13">
            <v>-7447036.18</v>
          </cell>
          <cell r="F13">
            <v>16305096.77</v>
          </cell>
          <cell r="G13">
            <v>-4357310.7</v>
          </cell>
          <cell r="H13">
            <v>99530.05</v>
          </cell>
          <cell r="I13">
            <v>31083.94</v>
          </cell>
          <cell r="J13">
            <v>54489.65</v>
          </cell>
          <cell r="K13">
            <v>23200028.32</v>
          </cell>
          <cell r="L13">
            <v>12132889.71</v>
          </cell>
        </row>
        <row r="14">
          <cell r="A14" t="str">
            <v>乐山</v>
          </cell>
          <cell r="B14">
            <v>20654381.87</v>
          </cell>
          <cell r="C14">
            <v>22968182.95</v>
          </cell>
          <cell r="D14">
            <v>4883793.53</v>
          </cell>
          <cell r="E14">
            <v>17514785.77</v>
          </cell>
          <cell r="F14">
            <v>11051152.83</v>
          </cell>
          <cell r="G14">
            <v>2030415.4</v>
          </cell>
          <cell r="H14">
            <v>216609.63</v>
          </cell>
          <cell r="I14">
            <v>209878.91</v>
          </cell>
          <cell r="J14">
            <v>886155.04</v>
          </cell>
          <cell r="K14">
            <v>80415355.93</v>
          </cell>
          <cell r="L14">
            <v>14394211.81</v>
          </cell>
        </row>
        <row r="15">
          <cell r="A15" t="str">
            <v>南充</v>
          </cell>
          <cell r="B15">
            <v>-15044297.59</v>
          </cell>
          <cell r="C15">
            <v>14393446.84</v>
          </cell>
          <cell r="D15">
            <v>7366200.02</v>
          </cell>
          <cell r="E15">
            <v>12081826.97</v>
          </cell>
          <cell r="F15">
            <v>21957744.07</v>
          </cell>
          <cell r="G15">
            <v>2054237.42</v>
          </cell>
          <cell r="H15">
            <v>184520.04</v>
          </cell>
          <cell r="I15">
            <v>50033.37</v>
          </cell>
          <cell r="J15">
            <v>143180.47</v>
          </cell>
          <cell r="K15">
            <v>43186891.61</v>
          </cell>
          <cell r="L15">
            <v>24389715.37</v>
          </cell>
        </row>
        <row r="16">
          <cell r="A16" t="str">
            <v>眉山</v>
          </cell>
          <cell r="B16">
            <v>97870.93</v>
          </cell>
          <cell r="C16">
            <v>6573772.22</v>
          </cell>
          <cell r="D16">
            <v>1732439.76</v>
          </cell>
          <cell r="E16">
            <v>2201945.09</v>
          </cell>
          <cell r="F16">
            <v>781293.01</v>
          </cell>
          <cell r="G16">
            <v>380935.04</v>
          </cell>
          <cell r="H16">
            <v>40845.22</v>
          </cell>
          <cell r="I16">
            <v>8661.87</v>
          </cell>
          <cell r="J16">
            <v>829.43</v>
          </cell>
          <cell r="K16">
            <v>11818592.57</v>
          </cell>
          <cell r="L16">
            <v>1212564.57</v>
          </cell>
        </row>
        <row r="17">
          <cell r="A17" t="str">
            <v>宜宾</v>
          </cell>
          <cell r="B17">
            <v>13453561.73</v>
          </cell>
          <cell r="C17">
            <v>14815670.68</v>
          </cell>
          <cell r="D17">
            <v>2313869.8</v>
          </cell>
          <cell r="E17">
            <v>5416239.38</v>
          </cell>
          <cell r="F17">
            <v>1434814.14</v>
          </cell>
          <cell r="G17">
            <v>781321.82</v>
          </cell>
          <cell r="H17">
            <v>112826.15</v>
          </cell>
          <cell r="I17">
            <v>25951.52</v>
          </cell>
          <cell r="J17">
            <v>24037.48</v>
          </cell>
          <cell r="K17">
            <v>38378292.7</v>
          </cell>
          <cell r="L17">
            <v>2378951.11</v>
          </cell>
        </row>
        <row r="18">
          <cell r="A18" t="str">
            <v>广安</v>
          </cell>
          <cell r="B18">
            <v>10869646.26</v>
          </cell>
          <cell r="C18">
            <v>10054520.05</v>
          </cell>
          <cell r="D18">
            <v>4622980.79</v>
          </cell>
          <cell r="E18">
            <v>10084330.61</v>
          </cell>
          <cell r="F18">
            <v>2331408.64</v>
          </cell>
          <cell r="G18">
            <v>371874.55</v>
          </cell>
          <cell r="H18">
            <v>236570.43</v>
          </cell>
          <cell r="I18">
            <v>352784.42</v>
          </cell>
          <cell r="J18">
            <v>100632.5</v>
          </cell>
          <cell r="K18">
            <v>39024748.25</v>
          </cell>
          <cell r="L18">
            <v>3393270.54</v>
          </cell>
        </row>
        <row r="19">
          <cell r="A19" t="str">
            <v>达州</v>
          </cell>
          <cell r="B19">
            <v>2855560.98</v>
          </cell>
          <cell r="C19">
            <v>3872702.41</v>
          </cell>
          <cell r="D19">
            <v>570286.86</v>
          </cell>
          <cell r="E19">
            <v>9587497.8</v>
          </cell>
          <cell r="F19">
            <v>3653667.49</v>
          </cell>
          <cell r="G19">
            <v>4671455.69</v>
          </cell>
          <cell r="H19">
            <v>346025.48</v>
          </cell>
          <cell r="I19">
            <v>314278.47</v>
          </cell>
          <cell r="J19">
            <v>1820064.59</v>
          </cell>
          <cell r="K19">
            <v>27691539.77</v>
          </cell>
          <cell r="L19">
            <v>10805491.72</v>
          </cell>
        </row>
        <row r="20">
          <cell r="A20" t="str">
            <v>雅安</v>
          </cell>
          <cell r="B20">
            <v>3136393.79</v>
          </cell>
          <cell r="C20">
            <v>3846867.16</v>
          </cell>
          <cell r="D20">
            <v>1057675.18</v>
          </cell>
          <cell r="E20">
            <v>1420939.19</v>
          </cell>
          <cell r="F20">
            <v>1021802.35</v>
          </cell>
          <cell r="G20">
            <v>189030.78</v>
          </cell>
          <cell r="H20">
            <v>45421.96</v>
          </cell>
          <cell r="I20">
            <v>55185.16</v>
          </cell>
          <cell r="J20">
            <v>306328.12</v>
          </cell>
          <cell r="K20">
            <v>11079643.69</v>
          </cell>
          <cell r="L20">
            <v>1617768.37</v>
          </cell>
        </row>
        <row r="21">
          <cell r="A21" t="str">
            <v>巴中</v>
          </cell>
          <cell r="B21">
            <v>3852474.49</v>
          </cell>
          <cell r="C21">
            <v>9170219.48</v>
          </cell>
          <cell r="D21">
            <v>10020084.38</v>
          </cell>
          <cell r="E21">
            <v>20402543.67</v>
          </cell>
          <cell r="F21">
            <v>8717594.48</v>
          </cell>
          <cell r="G21">
            <v>1065616.82</v>
          </cell>
          <cell r="H21">
            <v>543941</v>
          </cell>
          <cell r="I21">
            <v>170851.22</v>
          </cell>
          <cell r="J21">
            <v>254246.52</v>
          </cell>
          <cell r="K21">
            <v>54197572.06</v>
          </cell>
          <cell r="L21">
            <v>10752250.04</v>
          </cell>
        </row>
        <row r="22">
          <cell r="A22" t="str">
            <v>资阳</v>
          </cell>
          <cell r="B22">
            <v>2101620.99</v>
          </cell>
          <cell r="C22">
            <v>9534060.92</v>
          </cell>
          <cell r="D22">
            <v>773014.2</v>
          </cell>
          <cell r="E22">
            <v>6695711.05</v>
          </cell>
          <cell r="F22">
            <v>1424628.05</v>
          </cell>
          <cell r="G22">
            <v>515946.27</v>
          </cell>
          <cell r="H22">
            <v>49015.41</v>
          </cell>
          <cell r="I22">
            <v>101462.15</v>
          </cell>
          <cell r="J22">
            <v>211466.46</v>
          </cell>
          <cell r="K22">
            <v>21406925.5</v>
          </cell>
          <cell r="L22">
            <v>2302518.34</v>
          </cell>
        </row>
        <row r="23">
          <cell r="A23" t="str">
            <v>阿坝</v>
          </cell>
          <cell r="B23">
            <v>3222229.43</v>
          </cell>
          <cell r="C23">
            <v>5769430.58</v>
          </cell>
          <cell r="D23">
            <v>1810316.45</v>
          </cell>
          <cell r="E23">
            <v>2948494.25</v>
          </cell>
          <cell r="F23">
            <v>951578.9</v>
          </cell>
          <cell r="G23">
            <v>806875.89</v>
          </cell>
          <cell r="H23">
            <v>212182.79</v>
          </cell>
          <cell r="I23">
            <v>184010.33</v>
          </cell>
          <cell r="J23">
            <v>180323.79</v>
          </cell>
          <cell r="K23">
            <v>16085442.41</v>
          </cell>
          <cell r="L23">
            <v>2334971.7</v>
          </cell>
        </row>
        <row r="24">
          <cell r="A24" t="str">
            <v>甘孜</v>
          </cell>
          <cell r="B24">
            <v>11439873.41</v>
          </cell>
          <cell r="C24">
            <v>4199375.18</v>
          </cell>
          <cell r="D24">
            <v>5090616.36</v>
          </cell>
          <cell r="E24">
            <v>4713074.5</v>
          </cell>
          <cell r="F24">
            <v>1101813.37</v>
          </cell>
          <cell r="G24">
            <v>1705699.71</v>
          </cell>
          <cell r="H24">
            <v>147462.16</v>
          </cell>
          <cell r="I24">
            <v>51629.65</v>
          </cell>
          <cell r="J24">
            <v>2063164.65</v>
          </cell>
          <cell r="K24">
            <v>30512708.99</v>
          </cell>
          <cell r="L24">
            <v>5069769.54</v>
          </cell>
        </row>
        <row r="25">
          <cell r="A25" t="str">
            <v>凉山</v>
          </cell>
          <cell r="B25">
            <v>17849297.42</v>
          </cell>
          <cell r="C25">
            <v>9442151.04</v>
          </cell>
          <cell r="D25">
            <v>8594767.72</v>
          </cell>
          <cell r="E25">
            <v>19354176.45</v>
          </cell>
          <cell r="F25">
            <v>1190275.81</v>
          </cell>
          <cell r="G25">
            <v>586971.32</v>
          </cell>
          <cell r="H25">
            <v>136993.4</v>
          </cell>
          <cell r="I25">
            <v>128215.53</v>
          </cell>
          <cell r="J25">
            <v>60177.03</v>
          </cell>
          <cell r="K25">
            <v>57343025.72</v>
          </cell>
          <cell r="L25">
            <v>2102633.09</v>
          </cell>
        </row>
        <row r="26">
          <cell r="A26" t="str">
            <v>长途传输局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 t="str">
            <v>机动通信局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号百中心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 t="str">
            <v>天翼空间运营中心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6年2月)"/>
    </sheetNames>
    <sheetDataSet>
      <sheetData sheetId="0">
        <row r="2">
          <cell r="A2" t="str">
            <v>单位</v>
          </cell>
          <cell r="B2" t="str">
            <v>应收产业数字化业务款【19期末余额  1年＜账龄≤2年】</v>
          </cell>
          <cell r="C2" t="str">
            <v>应收产业数字化业务款【20期末余额  2年＜账龄≤3年】</v>
          </cell>
          <cell r="D2" t="str">
            <v>应收产业数字化业务款【28期末余额 3年＜账龄≤4年】</v>
          </cell>
          <cell r="E2" t="str">
            <v>应收产业数字化业务款【29期末余额 4年＜账龄≤5年】</v>
          </cell>
          <cell r="F2" t="str">
            <v>应收产业数字化业务款【30期末余额 5年＜账龄】</v>
          </cell>
          <cell r="G2" t="str">
            <v>应收产业数字化业务款【21期末余额  合计】</v>
          </cell>
          <cell r="H2" t="str">
            <v>一年以上产数</v>
          </cell>
        </row>
        <row r="3">
          <cell r="A3" t="str">
            <v>本部</v>
          </cell>
          <cell r="B3">
            <v>6304022.54</v>
          </cell>
          <cell r="C3">
            <v>784678.22</v>
          </cell>
          <cell r="D3">
            <v>1923741.79</v>
          </cell>
          <cell r="E3">
            <v>1929492.97</v>
          </cell>
          <cell r="F3">
            <v>4097203.22</v>
          </cell>
          <cell r="G3">
            <v>398112595.85</v>
          </cell>
          <cell r="H3">
            <v>15039138.74</v>
          </cell>
        </row>
        <row r="4">
          <cell r="A4" t="str">
            <v>成都</v>
          </cell>
          <cell r="B4">
            <v>38985843.85</v>
          </cell>
          <cell r="C4">
            <v>17523126.01</v>
          </cell>
          <cell r="D4">
            <v>10539525.43</v>
          </cell>
          <cell r="E4">
            <v>5484800.89</v>
          </cell>
          <cell r="F4">
            <v>31808695.82</v>
          </cell>
          <cell r="G4">
            <v>576211696.96</v>
          </cell>
          <cell r="H4">
            <v>104341992</v>
          </cell>
        </row>
        <row r="5">
          <cell r="A5" t="str">
            <v>天府新区</v>
          </cell>
        </row>
        <row r="5">
          <cell r="H5">
            <v>0</v>
          </cell>
        </row>
        <row r="6">
          <cell r="A6" t="str">
            <v>自贡</v>
          </cell>
          <cell r="B6">
            <v>10227164.3</v>
          </cell>
          <cell r="C6">
            <v>933351.65</v>
          </cell>
          <cell r="D6">
            <v>374118.59</v>
          </cell>
          <cell r="E6">
            <v>59479.45</v>
          </cell>
          <cell r="F6">
            <v>94014.35</v>
          </cell>
          <cell r="G6">
            <v>47290698.7</v>
          </cell>
          <cell r="H6">
            <v>11688128.34</v>
          </cell>
        </row>
        <row r="7">
          <cell r="A7" t="str">
            <v>攀枝花</v>
          </cell>
          <cell r="B7">
            <v>1824098.71</v>
          </cell>
          <cell r="C7">
            <v>6560146.78</v>
          </cell>
          <cell r="D7">
            <v>264466.03</v>
          </cell>
          <cell r="E7">
            <v>238922.59</v>
          </cell>
          <cell r="F7">
            <v>179161.68</v>
          </cell>
          <cell r="G7">
            <v>28449163.75</v>
          </cell>
          <cell r="H7">
            <v>9066795.79</v>
          </cell>
        </row>
        <row r="8">
          <cell r="A8" t="str">
            <v>泸州</v>
          </cell>
          <cell r="B8">
            <v>22678614.86</v>
          </cell>
          <cell r="C8">
            <v>5438309.95</v>
          </cell>
          <cell r="D8">
            <v>1250003.06</v>
          </cell>
          <cell r="E8">
            <v>357375.39</v>
          </cell>
          <cell r="F8">
            <v>317166.19</v>
          </cell>
          <cell r="G8">
            <v>94438637.46</v>
          </cell>
          <cell r="H8">
            <v>30041469.45</v>
          </cell>
        </row>
        <row r="9">
          <cell r="A9" t="str">
            <v>德阳</v>
          </cell>
          <cell r="B9">
            <v>17004445.27</v>
          </cell>
          <cell r="C9">
            <v>895239.77</v>
          </cell>
          <cell r="D9">
            <v>554857.46</v>
          </cell>
          <cell r="E9">
            <v>178772.81</v>
          </cell>
          <cell r="F9">
            <v>530167.6</v>
          </cell>
          <cell r="G9">
            <v>95321095.31</v>
          </cell>
          <cell r="H9">
            <v>19163482.91</v>
          </cell>
        </row>
        <row r="10">
          <cell r="A10" t="str">
            <v>绵阳</v>
          </cell>
          <cell r="B10">
            <v>12868299.25</v>
          </cell>
          <cell r="C10">
            <v>1033017.15</v>
          </cell>
          <cell r="D10">
            <v>834312.86</v>
          </cell>
          <cell r="E10">
            <v>360523.68</v>
          </cell>
          <cell r="F10">
            <v>611977.19</v>
          </cell>
          <cell r="G10">
            <v>78653444.19</v>
          </cell>
          <cell r="H10">
            <v>15708130.13</v>
          </cell>
        </row>
        <row r="11">
          <cell r="A11" t="str">
            <v>广元</v>
          </cell>
          <cell r="B11">
            <v>6026933.16</v>
          </cell>
          <cell r="C11">
            <v>723124.5</v>
          </cell>
          <cell r="D11">
            <v>694266.84</v>
          </cell>
          <cell r="E11">
            <v>182672.34</v>
          </cell>
          <cell r="F11">
            <v>152794.71</v>
          </cell>
          <cell r="G11">
            <v>50204459.51</v>
          </cell>
          <cell r="H11">
            <v>7779791.55</v>
          </cell>
        </row>
        <row r="12">
          <cell r="A12" t="str">
            <v>遂宁</v>
          </cell>
          <cell r="B12">
            <v>9229828.34</v>
          </cell>
          <cell r="C12">
            <v>1768789.69</v>
          </cell>
          <cell r="D12">
            <v>418480.27</v>
          </cell>
          <cell r="E12">
            <v>91723.62</v>
          </cell>
          <cell r="F12">
            <v>154985.97</v>
          </cell>
          <cell r="G12">
            <v>45410221.57</v>
          </cell>
          <cell r="H12">
            <v>11663807.89</v>
          </cell>
        </row>
        <row r="13">
          <cell r="A13" t="str">
            <v>内江</v>
          </cell>
          <cell r="B13">
            <v>2570839.21</v>
          </cell>
          <cell r="C13">
            <v>3803885.43</v>
          </cell>
          <cell r="D13">
            <v>187205.77</v>
          </cell>
          <cell r="E13">
            <v>79212.43</v>
          </cell>
          <cell r="F13">
            <v>81674.27</v>
          </cell>
          <cell r="G13">
            <v>32098844.71</v>
          </cell>
          <cell r="H13">
            <v>6722817.11</v>
          </cell>
        </row>
        <row r="14">
          <cell r="A14" t="str">
            <v>乐山</v>
          </cell>
          <cell r="B14">
            <v>14916635.99</v>
          </cell>
          <cell r="C14">
            <v>11128833.07</v>
          </cell>
          <cell r="D14">
            <v>2209359.98</v>
          </cell>
          <cell r="E14">
            <v>230925.28</v>
          </cell>
          <cell r="F14">
            <v>1031141.74</v>
          </cell>
          <cell r="G14">
            <v>98128357.53</v>
          </cell>
          <cell r="H14">
            <v>29516896.06</v>
          </cell>
        </row>
        <row r="15">
          <cell r="A15" t="str">
            <v>南充</v>
          </cell>
          <cell r="B15">
            <v>14468532.89</v>
          </cell>
          <cell r="C15">
            <v>13044290.49</v>
          </cell>
          <cell r="D15">
            <v>2449635.13</v>
          </cell>
          <cell r="E15">
            <v>308818.56</v>
          </cell>
          <cell r="F15">
            <v>401324.35</v>
          </cell>
          <cell r="G15">
            <v>103779204.91</v>
          </cell>
          <cell r="H15">
            <v>30672601.42</v>
          </cell>
        </row>
        <row r="16">
          <cell r="A16" t="str">
            <v>眉山</v>
          </cell>
          <cell r="B16">
            <v>4470415.68</v>
          </cell>
          <cell r="C16">
            <v>824478.07</v>
          </cell>
          <cell r="D16">
            <v>398042.83</v>
          </cell>
          <cell r="E16">
            <v>42059.93</v>
          </cell>
          <cell r="F16">
            <v>10460.02</v>
          </cell>
          <cell r="G16">
            <v>81580510.22</v>
          </cell>
          <cell r="H16">
            <v>5745456.53</v>
          </cell>
        </row>
        <row r="17">
          <cell r="A17" t="str">
            <v>宜宾</v>
          </cell>
          <cell r="B17">
            <v>13947859.78</v>
          </cell>
          <cell r="C17">
            <v>1142375.59</v>
          </cell>
          <cell r="D17">
            <v>481580.55</v>
          </cell>
          <cell r="E17">
            <v>107785.47</v>
          </cell>
          <cell r="F17">
            <v>43422</v>
          </cell>
          <cell r="G17">
            <v>85580472.01</v>
          </cell>
          <cell r="H17">
            <v>15723023.39</v>
          </cell>
        </row>
        <row r="18">
          <cell r="A18" t="str">
            <v>广安</v>
          </cell>
          <cell r="B18">
            <v>7892893.58</v>
          </cell>
          <cell r="C18">
            <v>1211547.28</v>
          </cell>
          <cell r="D18">
            <v>226232.08</v>
          </cell>
          <cell r="E18">
            <v>136195.68</v>
          </cell>
          <cell r="F18">
            <v>431891.16</v>
          </cell>
          <cell r="G18">
            <v>70784427.3</v>
          </cell>
          <cell r="H18">
            <v>9898759.78</v>
          </cell>
        </row>
        <row r="19">
          <cell r="A19" t="str">
            <v>达州</v>
          </cell>
          <cell r="B19">
            <v>28844862.32</v>
          </cell>
          <cell r="C19">
            <v>4438471.24</v>
          </cell>
          <cell r="D19">
            <v>2282300.31</v>
          </cell>
          <cell r="E19">
            <v>292859.85</v>
          </cell>
          <cell r="F19">
            <v>1357534.34</v>
          </cell>
          <cell r="G19">
            <v>47377301.56</v>
          </cell>
          <cell r="H19">
            <v>37216028.06</v>
          </cell>
        </row>
        <row r="20">
          <cell r="A20" t="str">
            <v>雅安</v>
          </cell>
          <cell r="B20">
            <v>893301.87</v>
          </cell>
          <cell r="C20">
            <v>221932.87</v>
          </cell>
          <cell r="D20">
            <v>128085.75</v>
          </cell>
          <cell r="E20">
            <v>37395.95</v>
          </cell>
          <cell r="F20">
            <v>102438.79</v>
          </cell>
          <cell r="G20">
            <v>23120132.94</v>
          </cell>
          <cell r="H20">
            <v>1383155.23</v>
          </cell>
        </row>
        <row r="21">
          <cell r="A21" t="str">
            <v>巴中</v>
          </cell>
          <cell r="B21">
            <v>21978218.64</v>
          </cell>
          <cell r="C21">
            <v>1914437.32</v>
          </cell>
          <cell r="D21">
            <v>494881.15</v>
          </cell>
          <cell r="E21">
            <v>460939.9</v>
          </cell>
          <cell r="F21">
            <v>424633.38</v>
          </cell>
          <cell r="G21">
            <v>65211808.32</v>
          </cell>
          <cell r="H21">
            <v>25273110.39</v>
          </cell>
        </row>
        <row r="22">
          <cell r="A22" t="str">
            <v>资阳</v>
          </cell>
          <cell r="B22">
            <v>6867563.62</v>
          </cell>
          <cell r="C22">
            <v>1284969.23</v>
          </cell>
          <cell r="D22">
            <v>219094.96</v>
          </cell>
          <cell r="E22">
            <v>45281.88</v>
          </cell>
          <cell r="F22">
            <v>304113.04</v>
          </cell>
          <cell r="G22">
            <v>31109736.21</v>
          </cell>
          <cell r="H22">
            <v>8721022.73</v>
          </cell>
        </row>
        <row r="23">
          <cell r="A23" t="str">
            <v>阿坝</v>
          </cell>
          <cell r="B23">
            <v>3987644.19</v>
          </cell>
          <cell r="C23">
            <v>758872.74</v>
          </cell>
          <cell r="D23">
            <v>497036.16</v>
          </cell>
          <cell r="E23">
            <v>192863.22</v>
          </cell>
          <cell r="F23">
            <v>361306.45</v>
          </cell>
          <cell r="G23">
            <v>34409749.62</v>
          </cell>
          <cell r="H23">
            <v>5797722.76</v>
          </cell>
        </row>
        <row r="24">
          <cell r="A24" t="str">
            <v>甘孜</v>
          </cell>
          <cell r="B24">
            <v>5842749.22</v>
          </cell>
          <cell r="C24">
            <v>868891.18</v>
          </cell>
          <cell r="D24">
            <v>1616697.3</v>
          </cell>
          <cell r="E24">
            <v>64141.83</v>
          </cell>
          <cell r="F24">
            <v>123869.77</v>
          </cell>
          <cell r="G24">
            <v>50289363.44</v>
          </cell>
          <cell r="H24">
            <v>8516349.3</v>
          </cell>
        </row>
        <row r="25">
          <cell r="A25" t="str">
            <v>凉山</v>
          </cell>
          <cell r="B25">
            <v>18052277.08</v>
          </cell>
          <cell r="C25">
            <v>699022.18</v>
          </cell>
          <cell r="D25">
            <v>434225.45</v>
          </cell>
          <cell r="E25">
            <v>121266.8</v>
          </cell>
          <cell r="F25">
            <v>125628.47</v>
          </cell>
          <cell r="G25">
            <v>92507772.59</v>
          </cell>
          <cell r="H25">
            <v>19432419.98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市州营业收现率202502完成"/>
      <sheetName val="科目余额表"/>
    </sheetNames>
    <sheetDataSet>
      <sheetData sheetId="0">
        <row r="1">
          <cell r="B1" t="str">
            <v>单位</v>
          </cell>
          <cell r="C1" t="str">
            <v>营业总收入（不含IDC）</v>
          </cell>
          <cell r="D1" t="str">
            <v>收入基础数据</v>
          </cell>
        </row>
        <row r="2">
          <cell r="F2" t="str">
            <v>营业收现率</v>
          </cell>
        </row>
        <row r="2">
          <cell r="H2" t="str">
            <v>一、收入及销项税</v>
          </cell>
        </row>
        <row r="2">
          <cell r="R2" t="str">
            <v>二、资产类</v>
          </cell>
        </row>
        <row r="2">
          <cell r="AA2" t="str">
            <v>三、负债类</v>
          </cell>
        </row>
        <row r="3">
          <cell r="H3" t="str">
            <v>1.收入</v>
          </cell>
        </row>
        <row r="3">
          <cell r="Q3" t="str">
            <v>2.销项税</v>
          </cell>
          <cell r="R3" t="str">
            <v>3.应收款项</v>
          </cell>
        </row>
        <row r="3">
          <cell r="W3" t="str">
            <v>4.长期应收</v>
          </cell>
        </row>
        <row r="3">
          <cell r="Z3" t="str">
            <v>5.其他应收</v>
          </cell>
          <cell r="AA3" t="str">
            <v>6.预收款项</v>
          </cell>
        </row>
        <row r="3">
          <cell r="AD3" t="str">
            <v>7.应付款项</v>
          </cell>
        </row>
        <row r="3">
          <cell r="AH3" t="str">
            <v>8.其他应付款</v>
          </cell>
        </row>
        <row r="4">
          <cell r="C4" t="str">
            <v>总收入</v>
          </cell>
          <cell r="D4" t="str">
            <v>营业总收入-财报</v>
          </cell>
          <cell r="E4" t="str">
            <v>云锦直销IDC收入</v>
          </cell>
          <cell r="F4" t="str">
            <v>营业收现率完成</v>
          </cell>
          <cell r="G4" t="str">
            <v>经营活动现金流入完成</v>
          </cell>
          <cell r="H4" t="str">
            <v>营运资金变动前的经营收入</v>
          </cell>
          <cell r="I4" t="str">
            <v>营业收入</v>
          </cell>
          <cell r="J4" t="str">
            <v>减：境内运营商网间结算支出&amp;短信及彩信结算支出</v>
          </cell>
          <cell r="K4" t="str">
            <v>利息收入</v>
          </cell>
          <cell r="L4" t="str">
            <v>其他收益</v>
          </cell>
          <cell r="M4" t="str">
            <v>信用减值损失</v>
          </cell>
          <cell r="N4" t="str">
            <v>合同减值损失</v>
          </cell>
          <cell r="O4" t="str">
            <v>营业外收入</v>
          </cell>
          <cell r="P4" t="str">
            <v>减：报废长期资产利得/无法支付的应付款项</v>
          </cell>
          <cell r="Q4" t="str">
            <v>本期发生的增值税销项税额</v>
          </cell>
          <cell r="R4" t="str">
            <v>应收合计</v>
          </cell>
          <cell r="S4" t="str">
            <v>应收票据</v>
          </cell>
          <cell r="T4" t="str">
            <v>应收账款</v>
          </cell>
          <cell r="U4" t="str">
            <v>合同资产</v>
          </cell>
          <cell r="V4" t="str">
            <v>应收利息</v>
          </cell>
          <cell r="W4" t="str">
            <v>长期应收合计</v>
          </cell>
          <cell r="X4" t="str">
            <v>长期应收
（未区分一年以上和一年以内）</v>
          </cell>
          <cell r="Y4" t="str">
            <v>减：手机终端融资租赁</v>
          </cell>
          <cell r="Z4" t="str">
            <v>其他应收</v>
          </cell>
          <cell r="AA4" t="str">
            <v>预收合计</v>
          </cell>
          <cell r="AB4" t="str">
            <v>预收账款</v>
          </cell>
          <cell r="AC4" t="str">
            <v>合同负债</v>
          </cell>
          <cell r="AD4" t="str">
            <v>应付合计</v>
          </cell>
          <cell r="AE4" t="str">
            <v>应付账款-应付CP/SP结算款</v>
          </cell>
          <cell r="AF4" t="str">
            <v>其他流动负债</v>
          </cell>
          <cell r="AG4" t="str">
            <v>递延收益</v>
          </cell>
          <cell r="AH4" t="str">
            <v>其他应付款（仅含其他应付款，不含省内往来）</v>
          </cell>
        </row>
        <row r="5">
          <cell r="C5" t="str">
            <v>口径（取2024年实际完成值-已剔除IDC）</v>
          </cell>
          <cell r="D5" t="str">
            <v>预算</v>
          </cell>
        </row>
        <row r="5">
          <cell r="S5" t="str">
            <v>取科目："1121*"应收票据</v>
          </cell>
          <cell r="T5" t="str">
            <v>取科目："1122*"应收账款+"12310101*"坏账准备.本期计提.应收账款+"12310111*"坏账准备.本期计提.营业款结算+"12310201*"坏账准备.本期转回.应收账款+"12310301*"坏账准备.本期转销.应收账款+"12310401*"坏账准备.本期收回已转销坏账.应收账款+"12319001*"坏账准备.上期结转.应收账款+"1124*"营业款结算</v>
          </cell>
          <cell r="U5" t="str">
            <v>取科目："1126*"合同资产+"12310107*"坏账准备.本期计提.合同资产+"12310207*"坏账准备.本期转回.合同资产+"12310307*"坏账准备.本期转销.合同资产+"12310407*"坏账准备.本期收回已转销坏账.合同资产+"12319007*"坏账准备.上期结转.合同资产</v>
          </cell>
        </row>
        <row r="5">
          <cell r="X5" t="str">
            <v>取科目："12310105*"坏账准备.本期计提.长期应收款+"12310205*"坏账准备.本期转回.长期应收款+"12310305*"坏账准备.本期转销.长期应收款+"12310405*"坏账准备.本期收回已转销坏账.长期应收款+"12319005*"坏账准备.上期结转.长期应收款+“1531*"长期应收款+"1532*"未实现融资收益</v>
          </cell>
          <cell r="Y5" t="str">
            <v>取科目："153101*"</v>
          </cell>
        </row>
        <row r="5">
          <cell r="AB5" t="str">
            <v>取科目："2204*"预收账款</v>
          </cell>
          <cell r="AC5" t="str">
            <v>取科目："2203*"合同负债</v>
          </cell>
        </row>
        <row r="5">
          <cell r="AE5" t="str">
            <v>取科目："2202140100*"</v>
          </cell>
          <cell r="AF5" t="str">
            <v>取科目：“250201”应付债券.短期融资券+"2102*"其他金融负债+"222124*"应交税费.待转销项税额</v>
          </cell>
          <cell r="AG5" t="str">
            <v>取科目："2401*"递延收益</v>
          </cell>
          <cell r="AH5" t="str">
            <v>取科目："2241*"-"224106*"</v>
          </cell>
        </row>
        <row r="6">
          <cell r="B6" t="str">
            <v>省公司本部</v>
          </cell>
          <cell r="C6">
            <v>4422.543188</v>
          </cell>
          <cell r="D6">
            <v>4422.543188</v>
          </cell>
        </row>
        <row r="6">
          <cell r="F6">
            <v>-0.501657899242201</v>
          </cell>
          <cell r="G6">
            <v>-2218.60372499999</v>
          </cell>
          <cell r="H6">
            <v>6022.550718</v>
          </cell>
          <cell r="I6">
            <v>4422.543188</v>
          </cell>
          <cell r="J6">
            <v>5.82076609134674e-14</v>
          </cell>
          <cell r="K6">
            <v>1.365172</v>
          </cell>
          <cell r="L6">
            <v>1819.185936</v>
          </cell>
          <cell r="M6">
            <v>-305.045556</v>
          </cell>
          <cell r="N6">
            <v>0</v>
          </cell>
          <cell r="O6">
            <v>84.501978</v>
          </cell>
          <cell r="P6">
            <v>0</v>
          </cell>
          <cell r="Q6">
            <v>425.570394</v>
          </cell>
          <cell r="R6">
            <v>193.371030999994</v>
          </cell>
          <cell r="S6">
            <v>0</v>
          </cell>
          <cell r="T6">
            <v>193.371030999994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365.608992</v>
          </cell>
          <cell r="AA6">
            <v>-1337.174444</v>
          </cell>
          <cell r="AB6">
            <v>144.635</v>
          </cell>
          <cell r="AC6">
            <v>-1481.809444</v>
          </cell>
          <cell r="AD6">
            <v>-20852.660403</v>
          </cell>
          <cell r="AE6">
            <v>-19155.536065</v>
          </cell>
          <cell r="AF6">
            <v>-69.938402</v>
          </cell>
          <cell r="AG6">
            <v>-1627.18593599999</v>
          </cell>
          <cell r="AH6">
            <v>14082.090033</v>
          </cell>
        </row>
        <row r="7">
          <cell r="B7" t="str">
            <v>成都</v>
          </cell>
          <cell r="C7">
            <v>183774.262008</v>
          </cell>
          <cell r="D7">
            <v>183774.262008</v>
          </cell>
        </row>
        <row r="7">
          <cell r="F7">
            <v>0.809646425267771</v>
          </cell>
          <cell r="G7">
            <v>148792.174291</v>
          </cell>
          <cell r="H7">
            <v>178705.690839</v>
          </cell>
          <cell r="I7">
            <v>183774.262008</v>
          </cell>
          <cell r="J7">
            <v>4031.374171</v>
          </cell>
          <cell r="K7">
            <v>0.184197</v>
          </cell>
          <cell r="L7">
            <v>0</v>
          </cell>
          <cell r="M7">
            <v>-1152.414898</v>
          </cell>
          <cell r="N7">
            <v>0</v>
          </cell>
          <cell r="O7">
            <v>115.033703</v>
          </cell>
          <cell r="P7">
            <v>0</v>
          </cell>
          <cell r="Q7">
            <v>13734.17154</v>
          </cell>
          <cell r="R7">
            <v>19627.386586</v>
          </cell>
          <cell r="S7">
            <v>0</v>
          </cell>
          <cell r="T7">
            <v>19627.386586</v>
          </cell>
          <cell r="U7">
            <v>0</v>
          </cell>
          <cell r="V7">
            <v>0</v>
          </cell>
          <cell r="W7">
            <v>0</v>
          </cell>
          <cell r="X7">
            <v>2276.131205</v>
          </cell>
          <cell r="Y7">
            <v>2276.131205</v>
          </cell>
          <cell r="Z7">
            <v>167.78563</v>
          </cell>
          <cell r="AA7">
            <v>-16305.452393</v>
          </cell>
          <cell r="AB7">
            <v>1289.193186</v>
          </cell>
          <cell r="AC7">
            <v>-17594.645579</v>
          </cell>
          <cell r="AD7">
            <v>-5828.511943</v>
          </cell>
          <cell r="AE7">
            <v>-4634.001039</v>
          </cell>
          <cell r="AF7">
            <v>-1194.510904</v>
          </cell>
          <cell r="AG7">
            <v>0</v>
          </cell>
          <cell r="AH7">
            <v>-1718.55153599998</v>
          </cell>
        </row>
        <row r="8">
          <cell r="B8" t="str">
            <v>自贡</v>
          </cell>
          <cell r="C8">
            <v>14423.199006</v>
          </cell>
          <cell r="D8">
            <v>14423.199006</v>
          </cell>
        </row>
        <row r="8">
          <cell r="F8">
            <v>0.725194482905549</v>
          </cell>
          <cell r="G8">
            <v>10459.624345</v>
          </cell>
          <cell r="H8">
            <v>13524.150092</v>
          </cell>
          <cell r="I8">
            <v>14423.199006</v>
          </cell>
          <cell r="J8">
            <v>363.612675</v>
          </cell>
          <cell r="K8">
            <v>0.000921</v>
          </cell>
          <cell r="L8">
            <v>2.072993</v>
          </cell>
          <cell r="M8">
            <v>-549.410024</v>
          </cell>
          <cell r="N8">
            <v>0</v>
          </cell>
          <cell r="O8">
            <v>11.899871</v>
          </cell>
          <cell r="P8">
            <v>0</v>
          </cell>
          <cell r="Q8">
            <v>1106.482389</v>
          </cell>
          <cell r="R8">
            <v>1261.040238</v>
          </cell>
          <cell r="S8">
            <v>0</v>
          </cell>
          <cell r="T8">
            <v>1261.040238</v>
          </cell>
          <cell r="U8">
            <v>0</v>
          </cell>
          <cell r="V8">
            <v>0</v>
          </cell>
          <cell r="W8">
            <v>0</v>
          </cell>
          <cell r="X8">
            <v>186.227692</v>
          </cell>
          <cell r="Y8">
            <v>186.227692</v>
          </cell>
          <cell r="Z8">
            <v>9.28719100000001</v>
          </cell>
          <cell r="AA8">
            <v>-760.754840000001</v>
          </cell>
          <cell r="AB8">
            <v>23.240413</v>
          </cell>
          <cell r="AC8">
            <v>-783.995253000001</v>
          </cell>
          <cell r="AD8">
            <v>-2229.478319</v>
          </cell>
          <cell r="AE8">
            <v>-2177.155238</v>
          </cell>
          <cell r="AF8">
            <v>-50.250088</v>
          </cell>
          <cell r="AG8">
            <v>-2.07299299999999</v>
          </cell>
          <cell r="AH8">
            <v>89.5524519999981</v>
          </cell>
        </row>
        <row r="9">
          <cell r="B9" t="str">
            <v>攀枝花</v>
          </cell>
          <cell r="C9">
            <v>6766.058532</v>
          </cell>
          <cell r="D9">
            <v>6766.058532</v>
          </cell>
        </row>
        <row r="9">
          <cell r="F9">
            <v>0.977046329962195</v>
          </cell>
          <cell r="G9">
            <v>6610.752657</v>
          </cell>
          <cell r="H9">
            <v>6600.61388</v>
          </cell>
          <cell r="I9">
            <v>6766.058532</v>
          </cell>
          <cell r="J9">
            <v>218.51356</v>
          </cell>
          <cell r="K9">
            <v>0.052175</v>
          </cell>
          <cell r="L9">
            <v>0</v>
          </cell>
          <cell r="M9">
            <v>-45.061715</v>
          </cell>
          <cell r="N9">
            <v>0</v>
          </cell>
          <cell r="O9">
            <v>108.595799</v>
          </cell>
          <cell r="P9">
            <v>10.517351</v>
          </cell>
          <cell r="Q9">
            <v>525.93332</v>
          </cell>
          <cell r="R9">
            <v>225.037671</v>
          </cell>
          <cell r="S9">
            <v>0</v>
          </cell>
          <cell r="T9">
            <v>225.037671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-12.140366</v>
          </cell>
          <cell r="AA9">
            <v>-235.245845</v>
          </cell>
          <cell r="AB9">
            <v>-6.864881</v>
          </cell>
          <cell r="AC9">
            <v>-228.380964</v>
          </cell>
          <cell r="AD9">
            <v>-41.529459</v>
          </cell>
          <cell r="AE9">
            <v>-25.091883</v>
          </cell>
          <cell r="AF9">
            <v>-16.437576</v>
          </cell>
          <cell r="AG9">
            <v>0</v>
          </cell>
          <cell r="AH9">
            <v>-26.1219339999998</v>
          </cell>
        </row>
        <row r="10">
          <cell r="B10" t="str">
            <v>泸州</v>
          </cell>
          <cell r="C10">
            <v>27603.979394</v>
          </cell>
          <cell r="D10">
            <v>27603.979394</v>
          </cell>
        </row>
        <row r="10">
          <cell r="F10">
            <v>0.897877134823078</v>
          </cell>
          <cell r="G10">
            <v>24784.981928</v>
          </cell>
          <cell r="H10">
            <v>26380.660971</v>
          </cell>
          <cell r="I10">
            <v>27603.979394</v>
          </cell>
          <cell r="J10">
            <v>684.09408</v>
          </cell>
          <cell r="K10">
            <v>0</v>
          </cell>
          <cell r="L10">
            <v>24.917707</v>
          </cell>
          <cell r="M10">
            <v>-584.473499</v>
          </cell>
          <cell r="N10">
            <v>0</v>
          </cell>
          <cell r="O10">
            <v>20.331449</v>
          </cell>
          <cell r="P10">
            <v>0</v>
          </cell>
          <cell r="Q10">
            <v>2080.907911</v>
          </cell>
          <cell r="R10">
            <v>1663.237662</v>
          </cell>
          <cell r="S10">
            <v>35.6</v>
          </cell>
          <cell r="T10">
            <v>1627.637662</v>
          </cell>
          <cell r="U10">
            <v>0</v>
          </cell>
          <cell r="V10">
            <v>0</v>
          </cell>
          <cell r="W10">
            <v>0</v>
          </cell>
          <cell r="X10">
            <v>-82.0666230000004</v>
          </cell>
          <cell r="Y10">
            <v>-82.0666230000003</v>
          </cell>
          <cell r="Z10">
            <v>-7.09842</v>
          </cell>
          <cell r="AA10">
            <v>-323.935366999996</v>
          </cell>
          <cell r="AB10">
            <v>4.07317599999998</v>
          </cell>
          <cell r="AC10">
            <v>-328.008542999996</v>
          </cell>
          <cell r="AD10">
            <v>-1049.016196</v>
          </cell>
          <cell r="AE10">
            <v>-1010.673872</v>
          </cell>
          <cell r="AF10">
            <v>-21.195684</v>
          </cell>
          <cell r="AG10">
            <v>-17.14664</v>
          </cell>
          <cell r="AH10">
            <v>-647.496149000001</v>
          </cell>
        </row>
        <row r="11">
          <cell r="B11" t="str">
            <v>德阳</v>
          </cell>
          <cell r="C11">
            <v>18785.299114</v>
          </cell>
          <cell r="D11">
            <v>18785.299114</v>
          </cell>
        </row>
        <row r="11">
          <cell r="F11">
            <v>0.782370138468906</v>
          </cell>
          <cell r="G11">
            <v>14697.057069</v>
          </cell>
          <cell r="H11">
            <v>18331.080794</v>
          </cell>
          <cell r="I11">
            <v>18785.299114</v>
          </cell>
          <cell r="J11">
            <v>476.714999</v>
          </cell>
          <cell r="K11">
            <v>0.000158</v>
          </cell>
          <cell r="L11">
            <v>5.51573</v>
          </cell>
          <cell r="M11">
            <v>-5.03496999999999</v>
          </cell>
          <cell r="N11">
            <v>0</v>
          </cell>
          <cell r="O11">
            <v>61.287631</v>
          </cell>
          <cell r="P11">
            <v>39.27187</v>
          </cell>
          <cell r="Q11">
            <v>1526.522953</v>
          </cell>
          <cell r="R11">
            <v>1797.469439</v>
          </cell>
          <cell r="S11">
            <v>103.7</v>
          </cell>
          <cell r="T11">
            <v>1693.769439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-4.40636099999994</v>
          </cell>
          <cell r="AA11">
            <v>-111.825339999999</v>
          </cell>
          <cell r="AB11">
            <v>-3.73454</v>
          </cell>
          <cell r="AC11">
            <v>-108.090799999999</v>
          </cell>
          <cell r="AD11">
            <v>-2960.994697</v>
          </cell>
          <cell r="AE11">
            <v>-2943.223119</v>
          </cell>
          <cell r="AF11">
            <v>-12.255848</v>
          </cell>
          <cell r="AG11">
            <v>-5.51573</v>
          </cell>
          <cell r="AH11">
            <v>-294.663563000001</v>
          </cell>
        </row>
        <row r="12">
          <cell r="B12" t="str">
            <v>绵阳</v>
          </cell>
          <cell r="C12">
            <v>30874.454458</v>
          </cell>
          <cell r="D12">
            <v>30874.454458</v>
          </cell>
        </row>
        <row r="12">
          <cell r="F12">
            <v>0.903031234670958</v>
          </cell>
          <cell r="G12">
            <v>27880.596729</v>
          </cell>
          <cell r="H12">
            <v>29760.632434</v>
          </cell>
          <cell r="I12">
            <v>30874.454458</v>
          </cell>
          <cell r="J12">
            <v>892.022235</v>
          </cell>
          <cell r="K12">
            <v>0</v>
          </cell>
          <cell r="L12">
            <v>2.618862</v>
          </cell>
          <cell r="M12">
            <v>-291.050386</v>
          </cell>
          <cell r="N12">
            <v>0.5358</v>
          </cell>
          <cell r="O12">
            <v>84.416173</v>
          </cell>
          <cell r="P12">
            <v>18.320238</v>
          </cell>
          <cell r="Q12">
            <v>2291.342507</v>
          </cell>
          <cell r="R12">
            <v>1622.826194</v>
          </cell>
          <cell r="S12">
            <v>3.464466</v>
          </cell>
          <cell r="T12">
            <v>1642.325928</v>
          </cell>
          <cell r="U12">
            <v>-22.9642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42.1756559999999</v>
          </cell>
          <cell r="AA12">
            <v>-1514.852297</v>
          </cell>
          <cell r="AB12">
            <v>64.720249</v>
          </cell>
          <cell r="AC12">
            <v>-1579.572546</v>
          </cell>
          <cell r="AD12">
            <v>-1251.643161</v>
          </cell>
          <cell r="AE12">
            <v>-1241.598352</v>
          </cell>
          <cell r="AF12">
            <v>-7.42594699999988</v>
          </cell>
          <cell r="AG12">
            <v>-2.618862</v>
          </cell>
          <cell r="AH12">
            <v>260.119096000001</v>
          </cell>
        </row>
        <row r="13">
          <cell r="B13" t="str">
            <v>广元</v>
          </cell>
          <cell r="C13">
            <v>11743.822947</v>
          </cell>
          <cell r="D13">
            <v>11743.822947</v>
          </cell>
        </row>
        <row r="13">
          <cell r="F13">
            <v>0.887354269306492</v>
          </cell>
          <cell r="G13">
            <v>10420.93143</v>
          </cell>
          <cell r="H13">
            <v>11518.909177</v>
          </cell>
          <cell r="I13">
            <v>11743.822947</v>
          </cell>
          <cell r="J13">
            <v>434.646348</v>
          </cell>
          <cell r="K13">
            <v>1.4e-5</v>
          </cell>
          <cell r="L13">
            <v>6.203485</v>
          </cell>
          <cell r="M13">
            <v>195.327263</v>
          </cell>
          <cell r="N13">
            <v>0</v>
          </cell>
          <cell r="O13">
            <v>39.222477</v>
          </cell>
          <cell r="P13">
            <v>31.020661</v>
          </cell>
          <cell r="Q13">
            <v>896.470178</v>
          </cell>
          <cell r="R13">
            <v>1042.518809</v>
          </cell>
          <cell r="S13">
            <v>0</v>
          </cell>
          <cell r="T13">
            <v>1042.518809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-2.07050800000001</v>
          </cell>
          <cell r="AA13">
            <v>-243.385447000002</v>
          </cell>
          <cell r="AB13">
            <v>-37.621712</v>
          </cell>
          <cell r="AC13">
            <v>-205.763735000002</v>
          </cell>
          <cell r="AD13">
            <v>-788.000519</v>
          </cell>
          <cell r="AE13">
            <v>-776.353768</v>
          </cell>
          <cell r="AF13">
            <v>-5.44326600000001</v>
          </cell>
          <cell r="AG13">
            <v>-6.20348500000001</v>
          </cell>
          <cell r="AH13">
            <v>77.3863420000013</v>
          </cell>
        </row>
        <row r="14">
          <cell r="B14" t="str">
            <v>遂宁</v>
          </cell>
          <cell r="C14">
            <v>13141.769968</v>
          </cell>
          <cell r="D14">
            <v>13141.769968</v>
          </cell>
        </row>
        <row r="14">
          <cell r="F14">
            <v>0.950487464049028</v>
          </cell>
          <cell r="G14">
            <v>12491.08761</v>
          </cell>
          <cell r="H14">
            <v>12748.458135</v>
          </cell>
          <cell r="I14">
            <v>13141.769968</v>
          </cell>
          <cell r="J14">
            <v>369.045582</v>
          </cell>
          <cell r="K14">
            <v>0.002523</v>
          </cell>
          <cell r="L14">
            <v>5.395951</v>
          </cell>
          <cell r="M14">
            <v>-54.63064</v>
          </cell>
          <cell r="N14">
            <v>0</v>
          </cell>
          <cell r="O14">
            <v>54.614654</v>
          </cell>
          <cell r="P14">
            <v>29.648739</v>
          </cell>
          <cell r="Q14">
            <v>1054.473456</v>
          </cell>
          <cell r="R14">
            <v>1130.329408</v>
          </cell>
          <cell r="S14">
            <v>0</v>
          </cell>
          <cell r="T14">
            <v>1130.329408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-28.224504</v>
          </cell>
          <cell r="AA14">
            <v>-278.103725999999</v>
          </cell>
          <cell r="AB14">
            <v>13.030108</v>
          </cell>
          <cell r="AC14">
            <v>-291.133833999999</v>
          </cell>
          <cell r="AD14">
            <v>-20.6035689999999</v>
          </cell>
          <cell r="AE14">
            <v>-8.68007399999993</v>
          </cell>
          <cell r="AF14">
            <v>-11.923495</v>
          </cell>
          <cell r="AG14">
            <v>0</v>
          </cell>
          <cell r="AH14">
            <v>88.9682180000007</v>
          </cell>
        </row>
        <row r="15">
          <cell r="B15" t="str">
            <v>内江</v>
          </cell>
          <cell r="C15">
            <v>14553.207236</v>
          </cell>
          <cell r="D15">
            <v>14553.207236</v>
          </cell>
        </row>
        <row r="15">
          <cell r="F15">
            <v>1.00178094536687</v>
          </cell>
          <cell r="G15">
            <v>14579.125703</v>
          </cell>
          <cell r="H15">
            <v>14531.291881</v>
          </cell>
          <cell r="I15">
            <v>14553.207236</v>
          </cell>
          <cell r="J15">
            <v>403.817209</v>
          </cell>
          <cell r="K15">
            <v>0.000514</v>
          </cell>
          <cell r="L15">
            <v>0</v>
          </cell>
          <cell r="M15">
            <v>365.895392</v>
          </cell>
          <cell r="N15">
            <v>0</v>
          </cell>
          <cell r="O15">
            <v>16.005948</v>
          </cell>
          <cell r="P15">
            <v>0</v>
          </cell>
          <cell r="Q15">
            <v>1078.871364</v>
          </cell>
          <cell r="R15">
            <v>380.894528</v>
          </cell>
          <cell r="S15">
            <v>0</v>
          </cell>
          <cell r="T15">
            <v>380.894528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85.4482649999999</v>
          </cell>
          <cell r="AA15">
            <v>-40.249471999999</v>
          </cell>
          <cell r="AB15">
            <v>79.360065</v>
          </cell>
          <cell r="AC15">
            <v>-119.609536999999</v>
          </cell>
          <cell r="AD15">
            <v>-775.097314</v>
          </cell>
          <cell r="AE15">
            <v>-777.048352</v>
          </cell>
          <cell r="AF15">
            <v>1.95103799999999</v>
          </cell>
          <cell r="AG15">
            <v>0</v>
          </cell>
          <cell r="AH15">
            <v>250.652037</v>
          </cell>
        </row>
        <row r="16">
          <cell r="B16" t="str">
            <v>乐山</v>
          </cell>
          <cell r="C16">
            <v>21083.991499</v>
          </cell>
          <cell r="D16">
            <v>21083.991499</v>
          </cell>
        </row>
        <row r="16">
          <cell r="F16">
            <v>0.859527243447216</v>
          </cell>
          <cell r="G16">
            <v>18122.265094</v>
          </cell>
          <cell r="H16">
            <v>20247.151629</v>
          </cell>
          <cell r="I16">
            <v>21083.991499</v>
          </cell>
          <cell r="J16">
            <v>502.161977</v>
          </cell>
          <cell r="K16">
            <v>0</v>
          </cell>
          <cell r="L16">
            <v>18.757821</v>
          </cell>
          <cell r="M16">
            <v>-390.627627</v>
          </cell>
          <cell r="N16">
            <v>0</v>
          </cell>
          <cell r="O16">
            <v>52.875082</v>
          </cell>
          <cell r="P16">
            <v>15.683169</v>
          </cell>
          <cell r="Q16">
            <v>1673.584518</v>
          </cell>
          <cell r="R16">
            <v>2124.145124</v>
          </cell>
          <cell r="S16">
            <v>0</v>
          </cell>
          <cell r="T16">
            <v>2124.145124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17.593754</v>
          </cell>
          <cell r="AA16">
            <v>-1493.052556</v>
          </cell>
          <cell r="AB16">
            <v>-31.204042</v>
          </cell>
          <cell r="AC16">
            <v>-1461.848514</v>
          </cell>
          <cell r="AD16">
            <v>-849.707865</v>
          </cell>
          <cell r="AE16">
            <v>-738.244774</v>
          </cell>
          <cell r="AF16">
            <v>-102.198077</v>
          </cell>
          <cell r="AG16">
            <v>-9.265014</v>
          </cell>
          <cell r="AH16">
            <v>686.028245999999</v>
          </cell>
        </row>
        <row r="17">
          <cell r="B17" t="str">
            <v>南充</v>
          </cell>
          <cell r="C17">
            <v>31159.998172</v>
          </cell>
          <cell r="D17">
            <v>31159.998172</v>
          </cell>
        </row>
        <row r="17">
          <cell r="F17">
            <v>0.948666296924326</v>
          </cell>
          <cell r="G17">
            <v>29560.440078</v>
          </cell>
          <cell r="H17">
            <v>29773.631687</v>
          </cell>
          <cell r="I17">
            <v>31159.998172</v>
          </cell>
          <cell r="J17">
            <v>897.599384</v>
          </cell>
          <cell r="K17">
            <v>1.5e-5</v>
          </cell>
          <cell r="L17">
            <v>0</v>
          </cell>
          <cell r="M17">
            <v>-596.689917</v>
          </cell>
          <cell r="N17">
            <v>0</v>
          </cell>
          <cell r="O17">
            <v>107.922801</v>
          </cell>
          <cell r="P17">
            <v>0</v>
          </cell>
          <cell r="Q17">
            <v>2436.394562</v>
          </cell>
          <cell r="R17">
            <v>1176.574892</v>
          </cell>
          <cell r="S17">
            <v>0</v>
          </cell>
          <cell r="T17">
            <v>1176.574892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34.30514</v>
          </cell>
          <cell r="AA17">
            <v>-231.609711000001</v>
          </cell>
          <cell r="AB17">
            <v>5.14008200000003</v>
          </cell>
          <cell r="AC17">
            <v>-236.749793000001</v>
          </cell>
          <cell r="AD17">
            <v>-771.343553</v>
          </cell>
          <cell r="AE17">
            <v>-757.290798</v>
          </cell>
          <cell r="AF17">
            <v>-14.0527549999999</v>
          </cell>
          <cell r="AG17">
            <v>0</v>
          </cell>
          <cell r="AH17">
            <v>-435.752875000003</v>
          </cell>
        </row>
        <row r="18">
          <cell r="B18" t="str">
            <v>眉山</v>
          </cell>
          <cell r="C18">
            <v>20558.214447</v>
          </cell>
          <cell r="D18">
            <v>20558.214447</v>
          </cell>
        </row>
        <row r="18">
          <cell r="F18">
            <v>0.772757052853794</v>
          </cell>
          <cell r="G18">
            <v>15886.505208</v>
          </cell>
          <cell r="H18">
            <v>21225.741773</v>
          </cell>
          <cell r="I18">
            <v>20558.214447</v>
          </cell>
          <cell r="J18">
            <v>472.227473</v>
          </cell>
          <cell r="K18">
            <v>0</v>
          </cell>
          <cell r="L18">
            <v>0</v>
          </cell>
          <cell r="M18">
            <v>-82.655001</v>
          </cell>
          <cell r="N18">
            <v>0</v>
          </cell>
          <cell r="O18">
            <v>1222.44045</v>
          </cell>
          <cell r="P18">
            <v>0.03065</v>
          </cell>
          <cell r="Q18">
            <v>1754.954426</v>
          </cell>
          <cell r="R18">
            <v>264.877836</v>
          </cell>
          <cell r="S18">
            <v>0</v>
          </cell>
          <cell r="T18">
            <v>264.877836</v>
          </cell>
          <cell r="U18">
            <v>0</v>
          </cell>
          <cell r="V18">
            <v>0</v>
          </cell>
          <cell r="W18">
            <v>0</v>
          </cell>
          <cell r="X18">
            <v>-37.592581</v>
          </cell>
          <cell r="Y18">
            <v>-37.592581</v>
          </cell>
          <cell r="Z18">
            <v>50.4389520000001</v>
          </cell>
          <cell r="AA18">
            <v>-3018.600694</v>
          </cell>
          <cell r="AB18">
            <v>-32.10875</v>
          </cell>
          <cell r="AC18">
            <v>-2986.491944</v>
          </cell>
          <cell r="AD18">
            <v>-1789.078304</v>
          </cell>
          <cell r="AE18">
            <v>-1617.987448</v>
          </cell>
          <cell r="AF18">
            <v>-171.090856</v>
          </cell>
          <cell r="AG18">
            <v>0</v>
          </cell>
          <cell r="AH18">
            <v>-1971.195205</v>
          </cell>
        </row>
        <row r="19">
          <cell r="B19" t="str">
            <v>宜宾</v>
          </cell>
          <cell r="C19">
            <v>24270.612837</v>
          </cell>
          <cell r="D19">
            <v>24270.612837</v>
          </cell>
        </row>
        <row r="19">
          <cell r="F19">
            <v>0.96384241473861</v>
          </cell>
          <cell r="G19">
            <v>23393.046084</v>
          </cell>
          <cell r="H19">
            <v>23797.04123</v>
          </cell>
          <cell r="I19">
            <v>24270.612837</v>
          </cell>
          <cell r="J19">
            <v>725.954987</v>
          </cell>
          <cell r="K19">
            <v>-2.9e-5</v>
          </cell>
          <cell r="L19">
            <v>4.273995</v>
          </cell>
          <cell r="M19">
            <v>157.976473</v>
          </cell>
          <cell r="N19">
            <v>0.101566</v>
          </cell>
          <cell r="O19">
            <v>90.031375</v>
          </cell>
          <cell r="P19">
            <v>0</v>
          </cell>
          <cell r="Q19">
            <v>1766.7535</v>
          </cell>
          <cell r="R19">
            <v>1228.314778</v>
          </cell>
          <cell r="S19">
            <v>0</v>
          </cell>
          <cell r="T19">
            <v>1228.213212</v>
          </cell>
          <cell r="U19">
            <v>0.101565999999992</v>
          </cell>
          <cell r="V19">
            <v>0</v>
          </cell>
          <cell r="W19">
            <v>0</v>
          </cell>
          <cell r="X19">
            <v>196.178141</v>
          </cell>
          <cell r="Y19">
            <v>196.178141</v>
          </cell>
          <cell r="Z19">
            <v>21.3517880000001</v>
          </cell>
          <cell r="AA19">
            <v>-1888.060633</v>
          </cell>
          <cell r="AB19">
            <v>-32.5583</v>
          </cell>
          <cell r="AC19">
            <v>-1855.502333</v>
          </cell>
          <cell r="AD19">
            <v>-914.810705</v>
          </cell>
          <cell r="AE19">
            <v>-811.758835</v>
          </cell>
          <cell r="AF19">
            <v>-98.777875</v>
          </cell>
          <cell r="AG19">
            <v>-4.27399500000001</v>
          </cell>
          <cell r="AH19">
            <v>1881.789258</v>
          </cell>
        </row>
        <row r="20">
          <cell r="B20" t="str">
            <v>广安</v>
          </cell>
          <cell r="C20">
            <v>14827.204853</v>
          </cell>
          <cell r="D20">
            <v>14827.204853</v>
          </cell>
        </row>
        <row r="20">
          <cell r="F20">
            <v>0.885525492442591</v>
          </cell>
          <cell r="G20">
            <v>13129.867879</v>
          </cell>
          <cell r="H20">
            <v>14187.416387</v>
          </cell>
          <cell r="I20">
            <v>14827.204853</v>
          </cell>
          <cell r="J20">
            <v>409.732338</v>
          </cell>
          <cell r="K20">
            <v>0</v>
          </cell>
          <cell r="L20">
            <v>0</v>
          </cell>
          <cell r="M20">
            <v>-254.263623</v>
          </cell>
          <cell r="N20">
            <v>0</v>
          </cell>
          <cell r="O20">
            <v>65.316565</v>
          </cell>
          <cell r="P20">
            <v>41.10907</v>
          </cell>
          <cell r="Q20">
            <v>1076.781958</v>
          </cell>
          <cell r="R20">
            <v>1071.155585</v>
          </cell>
          <cell r="S20">
            <v>0</v>
          </cell>
          <cell r="T20">
            <v>1071.155585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5.87673299999991</v>
          </cell>
          <cell r="AA20">
            <v>-539.158936999999</v>
          </cell>
          <cell r="AB20">
            <v>-9.889816</v>
          </cell>
          <cell r="AC20">
            <v>-529.269120999999</v>
          </cell>
          <cell r="AD20">
            <v>-535.954597</v>
          </cell>
          <cell r="AE20">
            <v>-544.448789</v>
          </cell>
          <cell r="AF20">
            <v>8.49419199999999</v>
          </cell>
          <cell r="AG20">
            <v>0</v>
          </cell>
          <cell r="AH20">
            <v>17.8153860000014</v>
          </cell>
        </row>
        <row r="21">
          <cell r="B21" t="str">
            <v>达州</v>
          </cell>
          <cell r="C21">
            <v>21078.480806</v>
          </cell>
          <cell r="D21">
            <v>21078.480806</v>
          </cell>
        </row>
        <row r="21">
          <cell r="F21">
            <v>0.938332097651459</v>
          </cell>
          <cell r="G21">
            <v>19778.61511</v>
          </cell>
          <cell r="H21">
            <v>20590.427373</v>
          </cell>
          <cell r="I21">
            <v>21078.480806</v>
          </cell>
          <cell r="J21">
            <v>682.251868</v>
          </cell>
          <cell r="K21">
            <v>0</v>
          </cell>
          <cell r="L21">
            <v>0</v>
          </cell>
          <cell r="M21">
            <v>176.715904</v>
          </cell>
          <cell r="N21">
            <v>0</v>
          </cell>
          <cell r="O21">
            <v>65.75255</v>
          </cell>
          <cell r="P21">
            <v>48.270019</v>
          </cell>
          <cell r="Q21">
            <v>1590.166409</v>
          </cell>
          <cell r="R21">
            <v>946.373846000001</v>
          </cell>
          <cell r="S21">
            <v>0</v>
          </cell>
          <cell r="T21">
            <v>946.373846000001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-5</v>
          </cell>
          <cell r="AA21">
            <v>95.7077329999983</v>
          </cell>
          <cell r="AB21">
            <v>51.637668</v>
          </cell>
          <cell r="AC21">
            <v>44.0700649999984</v>
          </cell>
          <cell r="AD21">
            <v>-1406.250267</v>
          </cell>
          <cell r="AE21">
            <v>-1412.908805</v>
          </cell>
          <cell r="AF21">
            <v>6.65853799999999</v>
          </cell>
          <cell r="AG21">
            <v>0</v>
          </cell>
          <cell r="AH21">
            <v>-150.062292000002</v>
          </cell>
        </row>
        <row r="22">
          <cell r="B22" t="str">
            <v>雅安</v>
          </cell>
          <cell r="C22">
            <v>10476.270095</v>
          </cell>
          <cell r="D22">
            <v>10476.270095</v>
          </cell>
        </row>
        <row r="22">
          <cell r="F22">
            <v>0.879123088607234</v>
          </cell>
          <cell r="G22">
            <v>9209.930923</v>
          </cell>
          <cell r="H22">
            <v>10157.258728</v>
          </cell>
          <cell r="I22">
            <v>10476.270095</v>
          </cell>
          <cell r="J22">
            <v>239.172957</v>
          </cell>
          <cell r="K22">
            <v>0</v>
          </cell>
          <cell r="L22">
            <v>18.427889</v>
          </cell>
          <cell r="M22">
            <v>-105.160789</v>
          </cell>
          <cell r="N22">
            <v>0</v>
          </cell>
          <cell r="O22">
            <v>6.89449</v>
          </cell>
          <cell r="P22">
            <v>0</v>
          </cell>
          <cell r="Q22">
            <v>772.300529</v>
          </cell>
          <cell r="R22">
            <v>461.249813</v>
          </cell>
          <cell r="S22">
            <v>0</v>
          </cell>
          <cell r="T22">
            <v>461.249813</v>
          </cell>
          <cell r="U22">
            <v>0</v>
          </cell>
          <cell r="V22">
            <v>0</v>
          </cell>
          <cell r="W22">
            <v>0</v>
          </cell>
          <cell r="X22">
            <v>-19.684835</v>
          </cell>
          <cell r="Y22">
            <v>-19.684835</v>
          </cell>
          <cell r="Z22">
            <v>-3.08193099999996</v>
          </cell>
          <cell r="AA22">
            <v>-1000.481366</v>
          </cell>
          <cell r="AB22">
            <v>42.341775</v>
          </cell>
          <cell r="AC22">
            <v>-1042.823141</v>
          </cell>
          <cell r="AD22">
            <v>-476.798714</v>
          </cell>
          <cell r="AE22">
            <v>-389.311839</v>
          </cell>
          <cell r="AF22">
            <v>-69.058986</v>
          </cell>
          <cell r="AG22">
            <v>-18.427889</v>
          </cell>
          <cell r="AH22">
            <v>215.819628000001</v>
          </cell>
        </row>
        <row r="23">
          <cell r="B23" t="str">
            <v>巴中</v>
          </cell>
          <cell r="C23">
            <v>13685.537796</v>
          </cell>
          <cell r="D23">
            <v>13685.537796</v>
          </cell>
        </row>
        <row r="23">
          <cell r="F23">
            <v>0.991833463056697</v>
          </cell>
          <cell r="G23">
            <v>13573.774346</v>
          </cell>
          <cell r="H23">
            <v>13183.257975</v>
          </cell>
          <cell r="I23">
            <v>13685.537796</v>
          </cell>
          <cell r="J23">
            <v>545.347683</v>
          </cell>
          <cell r="K23">
            <v>0</v>
          </cell>
          <cell r="L23">
            <v>43.837323</v>
          </cell>
          <cell r="M23">
            <v>-16.068724</v>
          </cell>
          <cell r="N23">
            <v>0</v>
          </cell>
          <cell r="O23">
            <v>15.299263</v>
          </cell>
          <cell r="P23">
            <v>0</v>
          </cell>
          <cell r="Q23">
            <v>1027.514663</v>
          </cell>
          <cell r="R23">
            <v>979.815901000001</v>
          </cell>
          <cell r="S23">
            <v>0</v>
          </cell>
          <cell r="T23">
            <v>979.815901000001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21.905017</v>
          </cell>
          <cell r="AA23">
            <v>542.567491</v>
          </cell>
          <cell r="AB23">
            <v>-5.9</v>
          </cell>
          <cell r="AC23">
            <v>548.467491</v>
          </cell>
          <cell r="AD23">
            <v>-334.759265</v>
          </cell>
          <cell r="AE23">
            <v>-332.343568</v>
          </cell>
          <cell r="AF23">
            <v>41.421626</v>
          </cell>
          <cell r="AG23">
            <v>-43.8373230000004</v>
          </cell>
          <cell r="AH23">
            <v>156.9144</v>
          </cell>
        </row>
        <row r="24">
          <cell r="B24" t="str">
            <v>资阳</v>
          </cell>
          <cell r="C24">
            <v>11383.097597</v>
          </cell>
          <cell r="D24">
            <v>11383.097597</v>
          </cell>
        </row>
        <row r="24">
          <cell r="F24">
            <v>0.945877618482129</v>
          </cell>
          <cell r="G24">
            <v>10767.017246</v>
          </cell>
          <cell r="H24">
            <v>10885.316557</v>
          </cell>
          <cell r="I24">
            <v>11383.097597</v>
          </cell>
          <cell r="J24">
            <v>402.803976</v>
          </cell>
          <cell r="K24">
            <v>0</v>
          </cell>
          <cell r="L24">
            <v>5.078734</v>
          </cell>
          <cell r="M24">
            <v>-109.306412</v>
          </cell>
          <cell r="N24">
            <v>0</v>
          </cell>
          <cell r="O24">
            <v>18.778248</v>
          </cell>
          <cell r="P24">
            <v>9.527634</v>
          </cell>
          <cell r="Q24">
            <v>874.433951</v>
          </cell>
          <cell r="R24">
            <v>954.473521</v>
          </cell>
          <cell r="S24">
            <v>0</v>
          </cell>
          <cell r="T24">
            <v>954.473521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53.297904000001</v>
          </cell>
          <cell r="AB24">
            <v>4.668298</v>
          </cell>
          <cell r="AC24">
            <v>48.629606000001</v>
          </cell>
          <cell r="AD24">
            <v>25.0047689999999</v>
          </cell>
          <cell r="AE24">
            <v>6.27608199999998</v>
          </cell>
          <cell r="AF24">
            <v>18.7286869999999</v>
          </cell>
          <cell r="AG24">
            <v>0</v>
          </cell>
          <cell r="AH24">
            <v>-116.562414000001</v>
          </cell>
        </row>
        <row r="25">
          <cell r="B25" t="str">
            <v>阿坝</v>
          </cell>
          <cell r="C25">
            <v>6512.673939</v>
          </cell>
          <cell r="D25">
            <v>6512.673939</v>
          </cell>
        </row>
        <row r="25">
          <cell r="F25">
            <v>0.304582025229499</v>
          </cell>
          <cell r="G25">
            <v>1983.643418</v>
          </cell>
          <cell r="H25">
            <v>5960.833942</v>
          </cell>
          <cell r="I25">
            <v>6512.673939</v>
          </cell>
          <cell r="J25">
            <v>136.560271</v>
          </cell>
          <cell r="K25">
            <v>0</v>
          </cell>
          <cell r="L25">
            <v>0</v>
          </cell>
          <cell r="M25">
            <v>-419.203983</v>
          </cell>
          <cell r="N25">
            <v>0</v>
          </cell>
          <cell r="O25">
            <v>3.924257</v>
          </cell>
          <cell r="P25">
            <v>0</v>
          </cell>
          <cell r="Q25">
            <v>499.489491</v>
          </cell>
          <cell r="R25">
            <v>159.328049</v>
          </cell>
          <cell r="S25">
            <v>0</v>
          </cell>
          <cell r="T25">
            <v>159.328049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9.415</v>
          </cell>
          <cell r="AA25">
            <v>-1124.671218</v>
          </cell>
          <cell r="AB25">
            <v>8.80666799999997</v>
          </cell>
          <cell r="AC25">
            <v>-1133.477886</v>
          </cell>
          <cell r="AD25">
            <v>-3479.659645</v>
          </cell>
          <cell r="AE25">
            <v>-3409.552319</v>
          </cell>
          <cell r="AF25">
            <v>-70.107326</v>
          </cell>
          <cell r="AG25">
            <v>0</v>
          </cell>
          <cell r="AH25">
            <v>296.393897</v>
          </cell>
        </row>
        <row r="26">
          <cell r="B26" t="str">
            <v>甘孜</v>
          </cell>
          <cell r="C26">
            <v>8828.682971</v>
          </cell>
          <cell r="D26">
            <v>8828.682971</v>
          </cell>
        </row>
        <row r="26">
          <cell r="F26">
            <v>0.520189503245897</v>
          </cell>
          <cell r="G26">
            <v>4592.588209</v>
          </cell>
          <cell r="H26">
            <v>8560.832554</v>
          </cell>
          <cell r="I26">
            <v>8828.682971</v>
          </cell>
          <cell r="J26">
            <v>150.515942</v>
          </cell>
          <cell r="K26">
            <v>0</v>
          </cell>
          <cell r="L26">
            <v>0</v>
          </cell>
          <cell r="M26">
            <v>-121.276408</v>
          </cell>
          <cell r="N26">
            <v>0.412524</v>
          </cell>
          <cell r="O26">
            <v>18.855765</v>
          </cell>
          <cell r="P26">
            <v>15.326356</v>
          </cell>
          <cell r="Q26">
            <v>669.421003</v>
          </cell>
          <cell r="R26">
            <v>1739.153082</v>
          </cell>
          <cell r="S26">
            <v>0</v>
          </cell>
          <cell r="T26">
            <v>1738.740558</v>
          </cell>
          <cell r="U26">
            <v>0.412524000000022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-393.310421000001</v>
          </cell>
          <cell r="AB26">
            <v>29.88221</v>
          </cell>
          <cell r="AC26">
            <v>-423.192631000001</v>
          </cell>
          <cell r="AD26">
            <v>-1337.051839</v>
          </cell>
          <cell r="AE26">
            <v>-1311.604202</v>
          </cell>
          <cell r="AF26">
            <v>-25.447637</v>
          </cell>
          <cell r="AG26">
            <v>0</v>
          </cell>
          <cell r="AH26">
            <v>-1168.150006</v>
          </cell>
        </row>
        <row r="27">
          <cell r="B27" t="str">
            <v>凉山</v>
          </cell>
          <cell r="C27">
            <v>23999.279233</v>
          </cell>
          <cell r="D27">
            <v>23999.279233</v>
          </cell>
        </row>
        <row r="27">
          <cell r="F27">
            <v>0.701056757690669</v>
          </cell>
          <cell r="G27">
            <v>16824.856886</v>
          </cell>
          <cell r="H27">
            <v>23200.973273</v>
          </cell>
          <cell r="I27">
            <v>23999.279233</v>
          </cell>
          <cell r="J27">
            <v>650.161467</v>
          </cell>
          <cell r="K27">
            <v>0</v>
          </cell>
          <cell r="L27">
            <v>4.454519</v>
          </cell>
          <cell r="M27">
            <v>-188.915981</v>
          </cell>
          <cell r="N27">
            <v>0</v>
          </cell>
          <cell r="O27">
            <v>36.316969</v>
          </cell>
          <cell r="P27">
            <v>0</v>
          </cell>
          <cell r="Q27">
            <v>1875.876584</v>
          </cell>
          <cell r="R27">
            <v>1771.181148</v>
          </cell>
          <cell r="S27">
            <v>0</v>
          </cell>
          <cell r="T27">
            <v>1771.181148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13.4286290000001</v>
          </cell>
          <cell r="AA27">
            <v>-4024.856401</v>
          </cell>
          <cell r="AB27">
            <v>62.05929</v>
          </cell>
          <cell r="AC27">
            <v>-4086.915691</v>
          </cell>
          <cell r="AD27">
            <v>-1534.593993</v>
          </cell>
          <cell r="AE27">
            <v>-1259.820796</v>
          </cell>
          <cell r="AF27">
            <v>-270.318678</v>
          </cell>
          <cell r="AG27">
            <v>-4.45451899999976</v>
          </cell>
          <cell r="AH27">
            <v>-907.932800000005</v>
          </cell>
        </row>
        <row r="28">
          <cell r="B28" t="str">
            <v>市州合计</v>
          </cell>
          <cell r="C28">
            <v>529530.096908</v>
          </cell>
          <cell r="D28">
            <v>529530.096908</v>
          </cell>
        </row>
        <row r="28">
          <cell r="F28">
            <v>0.845162314392028</v>
          </cell>
          <cell r="G28">
            <v>447538.882243</v>
          </cell>
          <cell r="H28">
            <v>513871.371311</v>
          </cell>
          <cell r="I28">
            <v>529530.096908</v>
          </cell>
          <cell r="J28">
            <v>13688.331182</v>
          </cell>
          <cell r="K28">
            <v>0.240488</v>
          </cell>
          <cell r="L28">
            <v>141.555009</v>
          </cell>
          <cell r="M28">
            <v>-4070.329565</v>
          </cell>
          <cell r="N28">
            <v>1.04989</v>
          </cell>
          <cell r="O28">
            <v>2215.81552</v>
          </cell>
          <cell r="P28">
            <v>258.725757</v>
          </cell>
          <cell r="Q28">
            <v>40312.847212</v>
          </cell>
          <cell r="R28">
            <v>41627.38411</v>
          </cell>
          <cell r="S28">
            <v>142.764466</v>
          </cell>
          <cell r="T28">
            <v>41507.069754</v>
          </cell>
          <cell r="U28">
            <v>-22.45011</v>
          </cell>
          <cell r="V28">
            <v>0</v>
          </cell>
          <cell r="W28">
            <v>0</v>
          </cell>
          <cell r="X28">
            <v>2519.192999</v>
          </cell>
          <cell r="Y28">
            <v>2519.192999</v>
          </cell>
          <cell r="Z28">
            <v>416.989665</v>
          </cell>
          <cell r="AA28">
            <v>-32836.033536</v>
          </cell>
          <cell r="AB28">
            <v>1518.271147</v>
          </cell>
          <cell r="AC28">
            <v>-34354.304683</v>
          </cell>
          <cell r="AD28">
            <v>-28349.879155</v>
          </cell>
          <cell r="AE28">
            <v>-26172.821788</v>
          </cell>
          <cell r="AF28">
            <v>-2063.240917</v>
          </cell>
          <cell r="AG28">
            <v>-113.81645</v>
          </cell>
          <cell r="AH28">
            <v>-3415.04981399999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市州营业收现率2月完成"/>
      <sheetName val="科目余额表"/>
    </sheetNames>
    <sheetDataSet>
      <sheetData sheetId="0">
        <row r="1">
          <cell r="B1" t="str">
            <v>单位</v>
          </cell>
          <cell r="C1" t="str">
            <v>营业总收入（不含IDC）</v>
          </cell>
          <cell r="D1" t="str">
            <v>收入基础数据</v>
          </cell>
        </row>
        <row r="2">
          <cell r="F2" t="str">
            <v>营业收现率</v>
          </cell>
        </row>
        <row r="2">
          <cell r="I2" t="str">
            <v>一、收入及销项税</v>
          </cell>
        </row>
        <row r="2">
          <cell r="S2" t="str">
            <v>二、资产类</v>
          </cell>
        </row>
        <row r="2">
          <cell r="AB2" t="str">
            <v>三、负债类</v>
          </cell>
        </row>
        <row r="3">
          <cell r="I3" t="str">
            <v>1.收入</v>
          </cell>
        </row>
        <row r="3">
          <cell r="R3" t="str">
            <v>2.销项税</v>
          </cell>
          <cell r="S3" t="str">
            <v>3.应收款项</v>
          </cell>
        </row>
        <row r="3">
          <cell r="X3" t="str">
            <v>4.长期应收</v>
          </cell>
        </row>
        <row r="3">
          <cell r="AA3" t="str">
            <v>5.其他应收</v>
          </cell>
          <cell r="AB3" t="str">
            <v>6.预收款项</v>
          </cell>
        </row>
        <row r="3">
          <cell r="AE3" t="str">
            <v>7.应付款项</v>
          </cell>
        </row>
        <row r="3">
          <cell r="AI3" t="str">
            <v>8.其他应付款</v>
          </cell>
        </row>
        <row r="4">
          <cell r="C4" t="str">
            <v>总收入</v>
          </cell>
          <cell r="D4" t="str">
            <v>营业总收入-财报</v>
          </cell>
          <cell r="E4" t="str">
            <v>云锦直销IDC收入</v>
          </cell>
          <cell r="F4" t="str">
            <v>营业收现率完成</v>
          </cell>
        </row>
        <row r="4">
          <cell r="H4" t="str">
            <v>经营活动现金流入完成</v>
          </cell>
          <cell r="I4" t="str">
            <v>营运资金变动前的经营收入</v>
          </cell>
          <cell r="J4" t="str">
            <v>营业收入</v>
          </cell>
          <cell r="K4" t="str">
            <v>减：境内运营商网间结算支出&amp;短信及彩信结算支出</v>
          </cell>
          <cell r="L4" t="str">
            <v>利息收入</v>
          </cell>
          <cell r="M4" t="str">
            <v>其他收益</v>
          </cell>
          <cell r="N4" t="str">
            <v>信用减值损失</v>
          </cell>
          <cell r="O4" t="str">
            <v>合同减值损失</v>
          </cell>
          <cell r="P4" t="str">
            <v>营业外收入</v>
          </cell>
          <cell r="Q4" t="str">
            <v>减：报废长期资产利得/无法支付的应付款项</v>
          </cell>
          <cell r="R4" t="str">
            <v>本期发生的增值税销项税额</v>
          </cell>
          <cell r="S4" t="str">
            <v>应收合计</v>
          </cell>
          <cell r="T4" t="str">
            <v>应收票据</v>
          </cell>
          <cell r="U4" t="str">
            <v>应收账款</v>
          </cell>
          <cell r="V4" t="str">
            <v>合同资产</v>
          </cell>
          <cell r="W4" t="str">
            <v>应收利息</v>
          </cell>
          <cell r="X4" t="str">
            <v>长期应收合计</v>
          </cell>
          <cell r="Y4" t="str">
            <v>长期应收
（未区分一年以上和一年以内）</v>
          </cell>
          <cell r="Z4" t="str">
            <v>减：手机终端融资租赁</v>
          </cell>
          <cell r="AA4" t="str">
            <v>其他应收</v>
          </cell>
          <cell r="AB4" t="str">
            <v>预收合计</v>
          </cell>
          <cell r="AC4" t="str">
            <v>预收账款</v>
          </cell>
          <cell r="AD4" t="str">
            <v>合同负债</v>
          </cell>
          <cell r="AE4" t="str">
            <v>应付合计</v>
          </cell>
          <cell r="AF4" t="str">
            <v>应付账款-应付CP/SP结算款</v>
          </cell>
          <cell r="AG4" t="str">
            <v>其他流动负债</v>
          </cell>
          <cell r="AH4" t="str">
            <v>递延收益</v>
          </cell>
          <cell r="AI4" t="str">
            <v>其他应付款（仅含其他应付款，不含省内往来）</v>
          </cell>
        </row>
        <row r="5">
          <cell r="C5" t="str">
            <v>口径</v>
          </cell>
          <cell r="D5" t="str">
            <v>预算</v>
          </cell>
        </row>
        <row r="5">
          <cell r="T5" t="str">
            <v>取科目："1121*"应收票据</v>
          </cell>
          <cell r="U5" t="str">
            <v>取科目："1122*"应收账款+"12310101*"坏账准备.本期计提.应收账款+"12310111*"坏账准备.本期计提.营业款结算+"12310201*"坏账准备.本期转回.应收账款+"12310301*"坏账准备.本期转销.应收账款+"12310401*"坏账准备.本期收回已转销坏账.应收账款+"12319001*"坏账准备.上期结转.应收账款+"1124*"营业款结算</v>
          </cell>
          <cell r="V5" t="str">
            <v>取科目："1126*"合同资产+"12310107*"坏账准备.本期计提.合同资产+"12310207*"坏账准备.本期转回.合同资产+"12310307*"坏账准备.本期转销.合同资产+"12310407*"坏账准备.本期收回已转销坏账.合同资产+"12319007*"坏账准备.上期结转.合同资产</v>
          </cell>
        </row>
        <row r="5">
          <cell r="Y5" t="str">
            <v>取科目："12310105*"坏账准备.本期计提.长期应收款+"12310205*"坏账准备.本期转回.长期应收款+"12310305*"坏账准备.本期转销.长期应收款+"12310405*"坏账准备.本期收回已转销坏账.长期应收款+"12319005*"坏账准备.上期结转.长期应收款+“1531*"长期应收款+"1532*"未实现融资收益</v>
          </cell>
          <cell r="Z5" t="str">
            <v>取科目："153101*"</v>
          </cell>
        </row>
        <row r="5">
          <cell r="AC5" t="str">
            <v>取科目："2204*"预收账款</v>
          </cell>
          <cell r="AD5" t="str">
            <v>取科目："2203*"合同负债</v>
          </cell>
        </row>
        <row r="5">
          <cell r="AF5" t="str">
            <v>取科目："2202140100*"</v>
          </cell>
          <cell r="AG5" t="str">
            <v>取科目：“250201”应付债券.短期融资券+"2102*"其他金融负债+"222124*"应交税费.待转销项税额</v>
          </cell>
          <cell r="AH5" t="str">
            <v>取科目："2401*"递延收益</v>
          </cell>
          <cell r="AI5" t="str">
            <v>取科目："2241*"-"224106*"</v>
          </cell>
        </row>
        <row r="6">
          <cell r="B6" t="str">
            <v>省公司本部</v>
          </cell>
          <cell r="C6">
            <v>4807.018055</v>
          </cell>
          <cell r="D6">
            <v>4807.018055</v>
          </cell>
        </row>
        <row r="6">
          <cell r="F6">
            <v>3.16071581532681</v>
          </cell>
        </row>
        <row r="6">
          <cell r="H6">
            <v>15193.617991</v>
          </cell>
          <cell r="I6">
            <v>17270.313679</v>
          </cell>
          <cell r="J6">
            <v>4807.018055</v>
          </cell>
          <cell r="K6">
            <v>-2.61934474110603e-14</v>
          </cell>
          <cell r="L6">
            <v>0.447238</v>
          </cell>
          <cell r="M6">
            <v>14183.325419</v>
          </cell>
          <cell r="N6">
            <v>-1732.018345</v>
          </cell>
          <cell r="O6">
            <v>0</v>
          </cell>
          <cell r="P6">
            <v>11.541312</v>
          </cell>
          <cell r="Q6">
            <v>0</v>
          </cell>
          <cell r="R6">
            <v>920.034497</v>
          </cell>
          <cell r="S6">
            <v>2391.88276399999</v>
          </cell>
          <cell r="T6">
            <v>0</v>
          </cell>
          <cell r="U6">
            <v>2391.88276399999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-84.1663449999996</v>
          </cell>
          <cell r="AB6">
            <v>-3510.269519</v>
          </cell>
          <cell r="AC6">
            <v>53.04</v>
          </cell>
          <cell r="AD6">
            <v>-3563.309519</v>
          </cell>
          <cell r="AE6">
            <v>-1601.054847</v>
          </cell>
          <cell r="AF6">
            <v>389.452851999998</v>
          </cell>
          <cell r="AG6">
            <v>-231.214151</v>
          </cell>
          <cell r="AH6">
            <v>-1759.293548</v>
          </cell>
          <cell r="AI6">
            <v>4422.3106</v>
          </cell>
        </row>
        <row r="7">
          <cell r="B7" t="str">
            <v>成都</v>
          </cell>
          <cell r="C7">
            <v>171950.015036</v>
          </cell>
          <cell r="D7">
            <v>171950.015036</v>
          </cell>
        </row>
        <row r="7">
          <cell r="F7">
            <v>0.898203133408652</v>
          </cell>
          <cell r="G7">
            <v>15</v>
          </cell>
          <cell r="H7">
            <v>154446.042295</v>
          </cell>
          <cell r="I7">
            <v>166168.156931</v>
          </cell>
          <cell r="J7">
            <v>171950.015036</v>
          </cell>
          <cell r="K7">
            <v>4031.515029</v>
          </cell>
          <cell r="L7">
            <v>0.035373</v>
          </cell>
          <cell r="M7">
            <v>75.019203</v>
          </cell>
          <cell r="N7">
            <v>-1936.326104</v>
          </cell>
          <cell r="O7">
            <v>0</v>
          </cell>
          <cell r="P7">
            <v>110.928452</v>
          </cell>
          <cell r="Q7">
            <v>0</v>
          </cell>
          <cell r="R7">
            <v>15731.844204</v>
          </cell>
          <cell r="S7">
            <v>14769.73374</v>
          </cell>
          <cell r="T7">
            <v>-154.058</v>
          </cell>
          <cell r="U7">
            <v>14923.79174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4.10179999999851</v>
          </cell>
          <cell r="AB7">
            <v>-4561.00916400003</v>
          </cell>
          <cell r="AC7">
            <v>-143.281667</v>
          </cell>
          <cell r="AD7">
            <v>-4417.72749700003</v>
          </cell>
          <cell r="AE7">
            <v>-8875.865873</v>
          </cell>
          <cell r="AF7">
            <v>-8479.335136</v>
          </cell>
          <cell r="AG7">
            <v>-396.530737</v>
          </cell>
          <cell r="AH7">
            <v>0</v>
          </cell>
          <cell r="AI7">
            <v>756.751737000012</v>
          </cell>
        </row>
        <row r="8">
          <cell r="B8" t="str">
            <v>自贡</v>
          </cell>
          <cell r="C8">
            <v>12868.655104</v>
          </cell>
          <cell r="D8">
            <v>12868.655104</v>
          </cell>
        </row>
        <row r="8">
          <cell r="F8">
            <v>0.95386828194537</v>
          </cell>
          <cell r="G8">
            <v>11</v>
          </cell>
          <cell r="H8">
            <v>12275.001935</v>
          </cell>
          <cell r="I8">
            <v>12515.898094</v>
          </cell>
          <cell r="J8">
            <v>12868.655104</v>
          </cell>
          <cell r="K8">
            <v>326.743789</v>
          </cell>
          <cell r="L8">
            <v>0</v>
          </cell>
          <cell r="M8">
            <v>176.141182</v>
          </cell>
          <cell r="N8">
            <v>-214.667919</v>
          </cell>
          <cell r="O8">
            <v>0</v>
          </cell>
          <cell r="P8">
            <v>12.513516</v>
          </cell>
          <cell r="Q8">
            <v>0</v>
          </cell>
          <cell r="R8">
            <v>1213.766997</v>
          </cell>
          <cell r="S8">
            <v>482.641610000001</v>
          </cell>
          <cell r="T8">
            <v>0</v>
          </cell>
          <cell r="U8">
            <v>482.641610000001</v>
          </cell>
          <cell r="V8">
            <v>0</v>
          </cell>
          <cell r="W8">
            <v>0</v>
          </cell>
          <cell r="X8">
            <v>4.65738558830253e-14</v>
          </cell>
          <cell r="Y8">
            <v>0.431331000000052</v>
          </cell>
          <cell r="Z8">
            <v>0.431331000000006</v>
          </cell>
          <cell r="AA8">
            <v>6.86116699999999</v>
          </cell>
          <cell r="AB8">
            <v>241.404005</v>
          </cell>
          <cell r="AC8">
            <v>18.793758</v>
          </cell>
          <cell r="AD8">
            <v>222.610247</v>
          </cell>
          <cell r="AE8">
            <v>-1399.870946</v>
          </cell>
          <cell r="AF8">
            <v>-1410.007377</v>
          </cell>
          <cell r="AG8">
            <v>14.71565</v>
          </cell>
          <cell r="AH8">
            <v>-4.57921900000001</v>
          </cell>
          <cell r="AI8">
            <v>193.306562000001</v>
          </cell>
        </row>
        <row r="9">
          <cell r="B9" t="str">
            <v>攀枝花</v>
          </cell>
          <cell r="C9">
            <v>6913.969246</v>
          </cell>
          <cell r="D9">
            <v>6913.969246</v>
          </cell>
        </row>
        <row r="9">
          <cell r="F9">
            <v>0.640663201035014</v>
          </cell>
          <cell r="G9">
            <v>19</v>
          </cell>
          <cell r="H9">
            <v>4429.525669</v>
          </cell>
          <cell r="I9">
            <v>6599.229495</v>
          </cell>
          <cell r="J9">
            <v>6913.969246</v>
          </cell>
          <cell r="K9">
            <v>198.160196</v>
          </cell>
          <cell r="L9">
            <v>0.022751</v>
          </cell>
          <cell r="M9">
            <v>1.977942</v>
          </cell>
          <cell r="N9">
            <v>-241.561287</v>
          </cell>
          <cell r="O9">
            <v>18.68689</v>
          </cell>
          <cell r="P9">
            <v>104.294149</v>
          </cell>
          <cell r="Q9">
            <v>0</v>
          </cell>
          <cell r="R9">
            <v>674.241739</v>
          </cell>
          <cell r="S9">
            <v>267.520220000001</v>
          </cell>
          <cell r="T9">
            <v>0</v>
          </cell>
          <cell r="U9">
            <v>871.729648</v>
          </cell>
          <cell r="V9">
            <v>-604.209428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49.4848850000001</v>
          </cell>
          <cell r="AB9">
            <v>-694.707552</v>
          </cell>
          <cell r="AC9">
            <v>2.53044</v>
          </cell>
          <cell r="AD9">
            <v>-697.237992</v>
          </cell>
          <cell r="AE9">
            <v>-1634.071634</v>
          </cell>
          <cell r="AF9">
            <v>-1587.732043</v>
          </cell>
          <cell r="AG9">
            <v>-46.339591</v>
          </cell>
          <cell r="AH9">
            <v>0</v>
          </cell>
          <cell r="AI9">
            <v>-198.161274</v>
          </cell>
        </row>
        <row r="10">
          <cell r="B10" t="str">
            <v>泸州</v>
          </cell>
          <cell r="C10">
            <v>26657.619081</v>
          </cell>
          <cell r="D10">
            <v>26657.619081</v>
          </cell>
        </row>
        <row r="10">
          <cell r="F10">
            <v>0.92939689308782</v>
          </cell>
          <cell r="G10">
            <v>12</v>
          </cell>
          <cell r="H10">
            <v>24775.508351</v>
          </cell>
          <cell r="I10">
            <v>24998.120983</v>
          </cell>
          <cell r="J10">
            <v>26657.619081</v>
          </cell>
          <cell r="K10">
            <v>617.395239</v>
          </cell>
          <cell r="L10">
            <v>0</v>
          </cell>
          <cell r="M10">
            <v>42.417229</v>
          </cell>
          <cell r="N10">
            <v>-1541.990659</v>
          </cell>
          <cell r="O10">
            <v>433.23268</v>
          </cell>
          <cell r="P10">
            <v>30.961954</v>
          </cell>
          <cell r="Q10">
            <v>6.724063</v>
          </cell>
          <cell r="R10">
            <v>2540.33884</v>
          </cell>
          <cell r="S10">
            <v>-1038.009411</v>
          </cell>
          <cell r="T10">
            <v>0</v>
          </cell>
          <cell r="U10">
            <v>391.822774000002</v>
          </cell>
          <cell r="V10">
            <v>-1429.832185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21.943887</v>
          </cell>
          <cell r="AB10">
            <v>-3716.836834</v>
          </cell>
          <cell r="AC10">
            <v>-45.224278</v>
          </cell>
          <cell r="AD10">
            <v>-3671.612556</v>
          </cell>
          <cell r="AE10">
            <v>-575.662971</v>
          </cell>
          <cell r="AF10">
            <v>-320.223861</v>
          </cell>
          <cell r="AG10">
            <v>-252.142271</v>
          </cell>
          <cell r="AH10">
            <v>-3.296839</v>
          </cell>
          <cell r="AI10">
            <v>513.482808999999</v>
          </cell>
        </row>
        <row r="11">
          <cell r="B11" t="str">
            <v>德阳</v>
          </cell>
          <cell r="C11">
            <v>17530.631338</v>
          </cell>
          <cell r="D11">
            <v>17530.631338</v>
          </cell>
        </row>
        <row r="11">
          <cell r="F11">
            <v>0.814109109468514</v>
          </cell>
          <cell r="G11">
            <v>16</v>
          </cell>
          <cell r="H11">
            <v>14271.846667</v>
          </cell>
          <cell r="I11">
            <v>15908.030912</v>
          </cell>
          <cell r="J11">
            <v>17530.631338</v>
          </cell>
          <cell r="K11">
            <v>430.216241</v>
          </cell>
          <cell r="L11">
            <v>0</v>
          </cell>
          <cell r="M11">
            <v>5.51573</v>
          </cell>
          <cell r="N11">
            <v>-1205.801193</v>
          </cell>
          <cell r="O11">
            <v>0</v>
          </cell>
          <cell r="P11">
            <v>7.901278</v>
          </cell>
          <cell r="Q11">
            <v>0</v>
          </cell>
          <cell r="R11">
            <v>1744.484178</v>
          </cell>
          <cell r="S11">
            <v>1116.175327</v>
          </cell>
          <cell r="T11">
            <v>304.877267</v>
          </cell>
          <cell r="U11">
            <v>811.298059999999</v>
          </cell>
          <cell r="V11">
            <v>0</v>
          </cell>
          <cell r="W11">
            <v>0</v>
          </cell>
          <cell r="X11">
            <v>0</v>
          </cell>
          <cell r="Y11">
            <v>79.4695470000001</v>
          </cell>
          <cell r="Z11">
            <v>79.4695470000001</v>
          </cell>
          <cell r="AA11">
            <v>-4.71683400000036</v>
          </cell>
          <cell r="AB11">
            <v>-759.117271000003</v>
          </cell>
          <cell r="AC11">
            <v>46.154205</v>
          </cell>
          <cell r="AD11">
            <v>-805.271476000004</v>
          </cell>
          <cell r="AE11">
            <v>-1741.401591</v>
          </cell>
          <cell r="AF11">
            <v>-1681.512651</v>
          </cell>
          <cell r="AG11">
            <v>-59.88894</v>
          </cell>
          <cell r="AH11">
            <v>0</v>
          </cell>
          <cell r="AI11">
            <v>231.308932000002</v>
          </cell>
        </row>
        <row r="12">
          <cell r="B12" t="str">
            <v>绵阳</v>
          </cell>
          <cell r="C12">
            <v>30386.185188</v>
          </cell>
          <cell r="D12">
            <v>30386.185188</v>
          </cell>
        </row>
        <row r="12">
          <cell r="F12">
            <v>0.961948280448952</v>
          </cell>
          <cell r="G12">
            <v>10</v>
          </cell>
          <cell r="H12">
            <v>29229.938591</v>
          </cell>
          <cell r="I12">
            <v>28662.397117</v>
          </cell>
          <cell r="J12">
            <v>30386.185188</v>
          </cell>
          <cell r="K12">
            <v>796.722036</v>
          </cell>
          <cell r="L12">
            <v>0</v>
          </cell>
          <cell r="M12">
            <v>40.147257</v>
          </cell>
          <cell r="N12">
            <v>-1020.46189</v>
          </cell>
          <cell r="O12">
            <v>5.814</v>
          </cell>
          <cell r="P12">
            <v>47.434598</v>
          </cell>
          <cell r="Q12">
            <v>0</v>
          </cell>
          <cell r="R12">
            <v>2887.298089</v>
          </cell>
          <cell r="S12">
            <v>996.156776999998</v>
          </cell>
          <cell r="T12">
            <v>-0.190707999999999</v>
          </cell>
          <cell r="U12">
            <v>1245.533485</v>
          </cell>
          <cell r="V12">
            <v>-249.186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27.7399649999999</v>
          </cell>
          <cell r="AB12">
            <v>-1073.778838</v>
          </cell>
          <cell r="AC12">
            <v>-77.085363</v>
          </cell>
          <cell r="AD12">
            <v>-996.693475000002</v>
          </cell>
          <cell r="AE12">
            <v>-11.3932640000001</v>
          </cell>
          <cell r="AF12">
            <v>100.421763</v>
          </cell>
          <cell r="AG12">
            <v>-105.215273</v>
          </cell>
          <cell r="AH12">
            <v>-6.599754</v>
          </cell>
          <cell r="AI12">
            <v>-210.687770999995</v>
          </cell>
        </row>
        <row r="13">
          <cell r="B13" t="str">
            <v>广元</v>
          </cell>
          <cell r="C13">
            <v>11107.681948</v>
          </cell>
          <cell r="D13">
            <v>11107.681948</v>
          </cell>
        </row>
        <row r="13">
          <cell r="F13">
            <v>0.90071970712138</v>
          </cell>
          <cell r="G13">
            <v>14</v>
          </cell>
          <cell r="H13">
            <v>10004.908031</v>
          </cell>
          <cell r="I13">
            <v>10386.557883</v>
          </cell>
          <cell r="J13">
            <v>11107.681948</v>
          </cell>
          <cell r="K13">
            <v>387.763171</v>
          </cell>
          <cell r="L13">
            <v>0</v>
          </cell>
          <cell r="M13">
            <v>35.189001</v>
          </cell>
          <cell r="N13">
            <v>-378.150531</v>
          </cell>
          <cell r="O13">
            <v>0</v>
          </cell>
          <cell r="P13">
            <v>9.600636</v>
          </cell>
          <cell r="Q13">
            <v>0</v>
          </cell>
          <cell r="R13">
            <v>1082.278787</v>
          </cell>
          <cell r="S13">
            <v>-467.297400999998</v>
          </cell>
          <cell r="T13">
            <v>0</v>
          </cell>
          <cell r="U13">
            <v>-467.297400999998</v>
          </cell>
          <cell r="V13">
            <v>0</v>
          </cell>
          <cell r="W13">
            <v>0</v>
          </cell>
          <cell r="X13">
            <v>-6.57252030578093e-14</v>
          </cell>
          <cell r="Y13">
            <v>-13.8924860000001</v>
          </cell>
          <cell r="Z13">
            <v>-13.8924860000001</v>
          </cell>
          <cell r="AA13">
            <v>-5.071601</v>
          </cell>
          <cell r="AB13">
            <v>-1458.961128</v>
          </cell>
          <cell r="AC13">
            <v>-51.486774</v>
          </cell>
          <cell r="AD13">
            <v>-1407.474354</v>
          </cell>
          <cell r="AE13">
            <v>-150.238057</v>
          </cell>
          <cell r="AF13">
            <v>-46.3703850000001</v>
          </cell>
          <cell r="AG13">
            <v>-96.436341</v>
          </cell>
          <cell r="AH13">
            <v>-7.43133100000001</v>
          </cell>
          <cell r="AI13">
            <v>-327.098455999999</v>
          </cell>
        </row>
        <row r="14">
          <cell r="B14" t="str">
            <v>遂宁</v>
          </cell>
          <cell r="C14">
            <v>11899.064303</v>
          </cell>
          <cell r="D14">
            <v>11899.064303</v>
          </cell>
        </row>
        <row r="14">
          <cell r="F14">
            <v>1.03155789232144</v>
          </cell>
          <cell r="G14">
            <v>5</v>
          </cell>
          <cell r="H14">
            <v>12274.573693</v>
          </cell>
          <cell r="I14">
            <v>11387.477553</v>
          </cell>
          <cell r="J14">
            <v>11899.064303</v>
          </cell>
          <cell r="K14">
            <v>357.415531</v>
          </cell>
          <cell r="L14">
            <v>0.000722</v>
          </cell>
          <cell r="M14">
            <v>11.222646</v>
          </cell>
          <cell r="N14">
            <v>-223.763374</v>
          </cell>
          <cell r="O14">
            <v>0</v>
          </cell>
          <cell r="P14">
            <v>58.373714</v>
          </cell>
          <cell r="Q14">
            <v>0.004927</v>
          </cell>
          <cell r="R14">
            <v>1160.657292</v>
          </cell>
          <cell r="S14">
            <v>244.640584999999</v>
          </cell>
          <cell r="T14">
            <v>0</v>
          </cell>
          <cell r="U14">
            <v>244.640584999999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-3.68604200000002</v>
          </cell>
          <cell r="AB14">
            <v>61.8717520000008</v>
          </cell>
          <cell r="AC14">
            <v>-7.30666599999997</v>
          </cell>
          <cell r="AD14">
            <v>69.1784180000007</v>
          </cell>
          <cell r="AE14">
            <v>-73.135333</v>
          </cell>
          <cell r="AF14">
            <v>-75.885269</v>
          </cell>
          <cell r="AG14">
            <v>2.74993599999999</v>
          </cell>
          <cell r="AH14">
            <v>0</v>
          </cell>
          <cell r="AI14">
            <v>-21.3430280000001</v>
          </cell>
        </row>
        <row r="15">
          <cell r="B15" t="str">
            <v>内江</v>
          </cell>
          <cell r="C15">
            <v>14270.72282</v>
          </cell>
          <cell r="D15">
            <v>14270.72282</v>
          </cell>
        </row>
        <row r="15">
          <cell r="F15">
            <v>1.03817626092748</v>
          </cell>
          <cell r="G15">
            <v>4</v>
          </cell>
          <cell r="H15">
            <v>14815.525658</v>
          </cell>
          <cell r="I15">
            <v>13938.6984</v>
          </cell>
          <cell r="J15">
            <v>14270.72282</v>
          </cell>
          <cell r="K15">
            <v>360.527528</v>
          </cell>
          <cell r="L15">
            <v>0.0005</v>
          </cell>
          <cell r="M15">
            <v>9.48569</v>
          </cell>
          <cell r="N15">
            <v>6.51411699999999</v>
          </cell>
          <cell r="O15">
            <v>0</v>
          </cell>
          <cell r="P15">
            <v>12.502801</v>
          </cell>
          <cell r="Q15">
            <v>0</v>
          </cell>
          <cell r="R15">
            <v>1383.492983</v>
          </cell>
          <cell r="S15">
            <v>532.312196000002</v>
          </cell>
          <cell r="T15">
            <v>0</v>
          </cell>
          <cell r="U15">
            <v>532.312196000002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61.622674</v>
          </cell>
          <cell r="AB15">
            <v>-303.248621000001</v>
          </cell>
          <cell r="AC15">
            <v>79.975098</v>
          </cell>
          <cell r="AD15">
            <v>-383.223719000001</v>
          </cell>
          <cell r="AE15">
            <v>-56.6094140000002</v>
          </cell>
          <cell r="AF15">
            <v>-35.0874520000001</v>
          </cell>
          <cell r="AG15">
            <v>-21.521962</v>
          </cell>
          <cell r="AH15">
            <v>0</v>
          </cell>
          <cell r="AI15">
            <v>447.12718</v>
          </cell>
        </row>
        <row r="16">
          <cell r="B16" t="str">
            <v>乐山</v>
          </cell>
          <cell r="C16">
            <v>18857.362186</v>
          </cell>
          <cell r="D16">
            <v>18857.362186</v>
          </cell>
        </row>
        <row r="16">
          <cell r="F16">
            <v>1.04282819659685</v>
          </cell>
          <cell r="G16">
            <v>2</v>
          </cell>
          <cell r="H16">
            <v>19664.989001</v>
          </cell>
          <cell r="I16">
            <v>17872.894942</v>
          </cell>
          <cell r="J16">
            <v>18857.362186</v>
          </cell>
          <cell r="K16">
            <v>460.754962</v>
          </cell>
          <cell r="L16">
            <v>0.00218</v>
          </cell>
          <cell r="M16">
            <v>92.790076</v>
          </cell>
          <cell r="N16">
            <v>-633.566003</v>
          </cell>
          <cell r="O16">
            <v>1.95</v>
          </cell>
          <cell r="P16">
            <v>-8.390008</v>
          </cell>
          <cell r="Q16">
            <v>-23.501473</v>
          </cell>
          <cell r="R16">
            <v>2179.794103</v>
          </cell>
          <cell r="S16">
            <v>729.652702</v>
          </cell>
          <cell r="T16">
            <v>0</v>
          </cell>
          <cell r="U16">
            <v>727.702702</v>
          </cell>
          <cell r="V16">
            <v>1.95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30.7541049999999</v>
          </cell>
          <cell r="AB16">
            <v>-624.643362999998</v>
          </cell>
          <cell r="AC16">
            <v>46.013633</v>
          </cell>
          <cell r="AD16">
            <v>-670.656995999998</v>
          </cell>
          <cell r="AE16">
            <v>835.743116000001</v>
          </cell>
          <cell r="AF16">
            <v>908.787187</v>
          </cell>
          <cell r="AG16">
            <v>-49.251377</v>
          </cell>
          <cell r="AH16">
            <v>-23.792694</v>
          </cell>
          <cell r="AI16">
            <v>161.607009999999</v>
          </cell>
        </row>
        <row r="17">
          <cell r="B17" t="str">
            <v>南充</v>
          </cell>
          <cell r="C17">
            <v>30508.503059</v>
          </cell>
          <cell r="D17">
            <v>30508.503059</v>
          </cell>
        </row>
        <row r="17">
          <cell r="F17">
            <v>0.989974229498954</v>
          </cell>
          <cell r="G17">
            <v>9</v>
          </cell>
          <cell r="H17">
            <v>30202.631809</v>
          </cell>
          <cell r="I17">
            <v>28861.425782</v>
          </cell>
          <cell r="J17">
            <v>30508.503059</v>
          </cell>
          <cell r="K17">
            <v>797.136493</v>
          </cell>
          <cell r="L17">
            <v>0</v>
          </cell>
          <cell r="M17">
            <v>35.528647</v>
          </cell>
          <cell r="N17">
            <v>-1008.202854</v>
          </cell>
          <cell r="O17">
            <v>198.467666</v>
          </cell>
          <cell r="P17">
            <v>-75.734243</v>
          </cell>
          <cell r="Q17">
            <v>0</v>
          </cell>
          <cell r="R17">
            <v>2915.247117</v>
          </cell>
          <cell r="S17">
            <v>1967.66656500001</v>
          </cell>
          <cell r="T17">
            <v>0</v>
          </cell>
          <cell r="U17">
            <v>1769.19889900001</v>
          </cell>
          <cell r="V17">
            <v>198.467666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18.9781279999997</v>
          </cell>
          <cell r="AB17">
            <v>-83.6880379999937</v>
          </cell>
          <cell r="AC17">
            <v>16.486728</v>
          </cell>
          <cell r="AD17">
            <v>-100.174765999994</v>
          </cell>
          <cell r="AE17">
            <v>-133.882325</v>
          </cell>
          <cell r="AF17">
            <v>-118.893955</v>
          </cell>
          <cell r="AG17">
            <v>-13.9132140000001</v>
          </cell>
          <cell r="AH17">
            <v>-1.075156</v>
          </cell>
          <cell r="AI17">
            <v>630.173966</v>
          </cell>
        </row>
        <row r="18">
          <cell r="B18" t="str">
            <v>眉山</v>
          </cell>
          <cell r="C18">
            <v>18296.556831</v>
          </cell>
          <cell r="D18">
            <v>18296.556831</v>
          </cell>
        </row>
        <row r="18">
          <cell r="F18">
            <v>1.01089060470997</v>
          </cell>
          <cell r="G18">
            <v>6</v>
          </cell>
          <cell r="H18">
            <v>18495.817399</v>
          </cell>
          <cell r="I18">
            <v>17597.762328</v>
          </cell>
          <cell r="J18">
            <v>18296.556831</v>
          </cell>
          <cell r="K18">
            <v>471.937988</v>
          </cell>
          <cell r="L18">
            <v>0</v>
          </cell>
          <cell r="M18">
            <v>106.292969</v>
          </cell>
          <cell r="N18">
            <v>-356.409275</v>
          </cell>
          <cell r="O18">
            <v>0.241264</v>
          </cell>
          <cell r="P18">
            <v>22.653133</v>
          </cell>
          <cell r="Q18">
            <v>-0.365394</v>
          </cell>
          <cell r="R18">
            <v>1827.913014</v>
          </cell>
          <cell r="S18">
            <v>1007.128998</v>
          </cell>
          <cell r="T18">
            <v>0</v>
          </cell>
          <cell r="U18">
            <v>1017.469484</v>
          </cell>
          <cell r="V18">
            <v>-10.340486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52.5619109999997</v>
          </cell>
          <cell r="AB18">
            <v>-550.066730000002</v>
          </cell>
          <cell r="AC18">
            <v>72.843837</v>
          </cell>
          <cell r="AD18">
            <v>-622.910567000002</v>
          </cell>
          <cell r="AE18">
            <v>-431.545601</v>
          </cell>
          <cell r="AF18">
            <v>-377.064654</v>
          </cell>
          <cell r="AG18">
            <v>-54.480947</v>
          </cell>
          <cell r="AH18">
            <v>0</v>
          </cell>
          <cell r="AI18">
            <v>1111.445297</v>
          </cell>
        </row>
        <row r="19">
          <cell r="B19" t="str">
            <v>宜宾</v>
          </cell>
          <cell r="C19">
            <v>24103.38568</v>
          </cell>
          <cell r="D19">
            <v>24103.38568</v>
          </cell>
        </row>
        <row r="19">
          <cell r="F19">
            <v>0.998576424596298</v>
          </cell>
          <cell r="G19">
            <v>7</v>
          </cell>
          <cell r="H19">
            <v>24069.072693</v>
          </cell>
          <cell r="I19">
            <v>22445.718424</v>
          </cell>
          <cell r="J19">
            <v>24103.38568</v>
          </cell>
          <cell r="K19">
            <v>651.87544</v>
          </cell>
          <cell r="L19">
            <v>0</v>
          </cell>
          <cell r="M19">
            <v>82.548977</v>
          </cell>
          <cell r="N19">
            <v>-1097.369145</v>
          </cell>
          <cell r="O19">
            <v>-5.553157</v>
          </cell>
          <cell r="P19">
            <v>14.581515</v>
          </cell>
          <cell r="Q19">
            <v>6e-6</v>
          </cell>
          <cell r="R19">
            <v>2332.636986</v>
          </cell>
          <cell r="S19">
            <v>277.655253000002</v>
          </cell>
          <cell r="T19">
            <v>0</v>
          </cell>
          <cell r="U19">
            <v>283.208410000002</v>
          </cell>
          <cell r="V19">
            <v>-5.55315699999998</v>
          </cell>
          <cell r="W19">
            <v>0</v>
          </cell>
          <cell r="X19">
            <v>0</v>
          </cell>
          <cell r="Y19">
            <v>23.972215</v>
          </cell>
          <cell r="Z19">
            <v>23.972215</v>
          </cell>
          <cell r="AA19">
            <v>1.95223199999984</v>
          </cell>
          <cell r="AB19">
            <v>-879.350594000001</v>
          </cell>
          <cell r="AC19">
            <v>-21.52842</v>
          </cell>
          <cell r="AD19">
            <v>-857.822174000001</v>
          </cell>
          <cell r="AE19">
            <v>218.940254</v>
          </cell>
          <cell r="AF19">
            <v>289.458955</v>
          </cell>
          <cell r="AG19">
            <v>-60.284934</v>
          </cell>
          <cell r="AH19">
            <v>-10.233767</v>
          </cell>
          <cell r="AI19">
            <v>230.735108000004</v>
          </cell>
        </row>
        <row r="20">
          <cell r="B20" t="str">
            <v>广安</v>
          </cell>
          <cell r="C20">
            <v>14454.693566</v>
          </cell>
          <cell r="D20">
            <v>14454.693566</v>
          </cell>
        </row>
        <row r="20">
          <cell r="F20">
            <v>0.910156333853062</v>
          </cell>
          <cell r="G20">
            <v>13</v>
          </cell>
          <cell r="H20">
            <v>13156.030903</v>
          </cell>
          <cell r="I20">
            <v>14161.878959</v>
          </cell>
          <cell r="J20">
            <v>14454.693566</v>
          </cell>
          <cell r="K20">
            <v>363.543539</v>
          </cell>
          <cell r="L20">
            <v>0.001539</v>
          </cell>
          <cell r="M20">
            <v>0</v>
          </cell>
          <cell r="N20">
            <v>51.951631</v>
          </cell>
          <cell r="O20">
            <v>0</v>
          </cell>
          <cell r="P20">
            <v>18.775762</v>
          </cell>
          <cell r="Q20">
            <v>0</v>
          </cell>
          <cell r="R20">
            <v>1388.230064</v>
          </cell>
          <cell r="S20">
            <v>1980.395097</v>
          </cell>
          <cell r="T20">
            <v>0</v>
          </cell>
          <cell r="U20">
            <v>1980.395097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8.37242999999998</v>
          </cell>
          <cell r="AB20">
            <v>294.215733000001</v>
          </cell>
          <cell r="AC20">
            <v>-25.369316</v>
          </cell>
          <cell r="AD20">
            <v>319.585049000001</v>
          </cell>
          <cell r="AE20">
            <v>-718.923468</v>
          </cell>
          <cell r="AF20">
            <v>-733.064589</v>
          </cell>
          <cell r="AG20">
            <v>14.141121</v>
          </cell>
          <cell r="AH20">
            <v>0</v>
          </cell>
          <cell r="AI20">
            <v>19.3971420000024</v>
          </cell>
        </row>
        <row r="21">
          <cell r="B21" t="str">
            <v>达州</v>
          </cell>
          <cell r="C21">
            <v>19561.362037</v>
          </cell>
          <cell r="D21">
            <v>19561.362037</v>
          </cell>
        </row>
        <row r="21">
          <cell r="F21">
            <v>1.08669577950616</v>
          </cell>
          <cell r="G21">
            <v>1</v>
          </cell>
          <cell r="H21">
            <v>21257.249567</v>
          </cell>
          <cell r="I21">
            <v>19075.945812</v>
          </cell>
          <cell r="J21">
            <v>19561.362037</v>
          </cell>
          <cell r="K21">
            <v>579.983863</v>
          </cell>
          <cell r="L21">
            <v>0</v>
          </cell>
          <cell r="M21">
            <v>8.887733</v>
          </cell>
          <cell r="N21">
            <v>59.176045</v>
          </cell>
          <cell r="O21">
            <v>0</v>
          </cell>
          <cell r="P21">
            <v>28.983465</v>
          </cell>
          <cell r="Q21">
            <v>2.479605</v>
          </cell>
          <cell r="R21">
            <v>1895.378186</v>
          </cell>
          <cell r="S21">
            <v>254.784334</v>
          </cell>
          <cell r="T21">
            <v>77.753985</v>
          </cell>
          <cell r="U21">
            <v>177.030349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-48.416402</v>
          </cell>
          <cell r="AB21">
            <v>266.604825999998</v>
          </cell>
          <cell r="AC21">
            <v>95.759668</v>
          </cell>
          <cell r="AD21">
            <v>170.845157999998</v>
          </cell>
          <cell r="AE21">
            <v>196.60419</v>
          </cell>
          <cell r="AF21">
            <v>174.695358</v>
          </cell>
          <cell r="AG21">
            <v>21.9088319999999</v>
          </cell>
          <cell r="AH21">
            <v>0</v>
          </cell>
          <cell r="AI21">
            <v>29.0844849999994</v>
          </cell>
        </row>
        <row r="22">
          <cell r="B22" t="str">
            <v>雅安</v>
          </cell>
          <cell r="C22">
            <v>9515.814017</v>
          </cell>
          <cell r="D22">
            <v>9515.814017</v>
          </cell>
        </row>
        <row r="22">
          <cell r="F22">
            <v>0.789496296751761</v>
          </cell>
          <cell r="G22">
            <v>17</v>
          </cell>
          <cell r="H22">
            <v>7512.699927</v>
          </cell>
          <cell r="I22">
            <v>9267.669492</v>
          </cell>
          <cell r="J22">
            <v>9515.814017</v>
          </cell>
          <cell r="K22">
            <v>224.323651</v>
          </cell>
          <cell r="L22">
            <v>0</v>
          </cell>
          <cell r="M22">
            <v>43.676012</v>
          </cell>
          <cell r="N22">
            <v>-75.818778</v>
          </cell>
          <cell r="O22">
            <v>0</v>
          </cell>
          <cell r="P22">
            <v>8.321892</v>
          </cell>
          <cell r="Q22">
            <v>0</v>
          </cell>
          <cell r="R22">
            <v>905.706983</v>
          </cell>
          <cell r="S22">
            <v>801.99884</v>
          </cell>
          <cell r="T22">
            <v>0</v>
          </cell>
          <cell r="U22">
            <v>801.99884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-2.460946</v>
          </cell>
          <cell r="AB22">
            <v>-1105.778412</v>
          </cell>
          <cell r="AC22">
            <v>-5.251167</v>
          </cell>
          <cell r="AD22">
            <v>-1100.527245</v>
          </cell>
          <cell r="AE22">
            <v>-870.255116</v>
          </cell>
          <cell r="AF22">
            <v>-785.159083</v>
          </cell>
          <cell r="AG22">
            <v>-76.241438</v>
          </cell>
          <cell r="AH22">
            <v>-8.854595</v>
          </cell>
          <cell r="AI22">
            <v>114.894874</v>
          </cell>
        </row>
        <row r="23">
          <cell r="B23" t="str">
            <v>巴中</v>
          </cell>
          <cell r="C23">
            <v>12271.960217</v>
          </cell>
          <cell r="D23">
            <v>12271.960217</v>
          </cell>
        </row>
        <row r="23">
          <cell r="F23">
            <v>1.04044831186076</v>
          </cell>
          <cell r="G23">
            <v>3</v>
          </cell>
          <cell r="H23">
            <v>12768.340291</v>
          </cell>
          <cell r="I23">
            <v>12075.190561</v>
          </cell>
          <cell r="J23">
            <v>12271.960217</v>
          </cell>
          <cell r="K23">
            <v>458.11652</v>
          </cell>
          <cell r="L23">
            <v>0</v>
          </cell>
          <cell r="M23">
            <v>441.653129</v>
          </cell>
          <cell r="N23">
            <v>-224.488009</v>
          </cell>
          <cell r="O23">
            <v>0</v>
          </cell>
          <cell r="P23">
            <v>44.181744</v>
          </cell>
          <cell r="Q23">
            <v>0</v>
          </cell>
          <cell r="R23">
            <v>1252.689931</v>
          </cell>
          <cell r="S23">
            <v>548.862373000001</v>
          </cell>
          <cell r="T23">
            <v>0</v>
          </cell>
          <cell r="U23">
            <v>548.862373000001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11.133625</v>
          </cell>
          <cell r="AB23">
            <v>-217.214889999999</v>
          </cell>
          <cell r="AC23">
            <v>9.6244</v>
          </cell>
          <cell r="AD23">
            <v>-226.839289999999</v>
          </cell>
          <cell r="AE23">
            <v>230.12982</v>
          </cell>
          <cell r="AF23">
            <v>259.548007</v>
          </cell>
          <cell r="AG23">
            <v>-0.504774000000022</v>
          </cell>
          <cell r="AH23">
            <v>-28.9134129999999</v>
          </cell>
          <cell r="AI23">
            <v>-12.4591329999992</v>
          </cell>
        </row>
        <row r="24">
          <cell r="B24" t="str">
            <v>资阳</v>
          </cell>
          <cell r="C24">
            <v>10020.762152</v>
          </cell>
          <cell r="D24">
            <v>10020.762152</v>
          </cell>
        </row>
        <row r="24">
          <cell r="F24">
            <v>0.99616862116697</v>
          </cell>
          <cell r="G24">
            <v>8</v>
          </cell>
          <cell r="H24">
            <v>9982.368816</v>
          </cell>
          <cell r="I24">
            <v>9321.066059</v>
          </cell>
          <cell r="J24">
            <v>10020.762152</v>
          </cell>
          <cell r="K24">
            <v>394.582386</v>
          </cell>
          <cell r="L24">
            <v>0</v>
          </cell>
          <cell r="M24">
            <v>5.078734</v>
          </cell>
          <cell r="N24">
            <v>-357.74432</v>
          </cell>
          <cell r="O24">
            <v>0</v>
          </cell>
          <cell r="P24">
            <v>47.551879</v>
          </cell>
          <cell r="Q24">
            <v>0</v>
          </cell>
          <cell r="R24">
            <v>972.325468</v>
          </cell>
          <cell r="S24">
            <v>-28.5296620000005</v>
          </cell>
          <cell r="T24">
            <v>0</v>
          </cell>
          <cell r="U24">
            <v>-28.5296620000005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-24.020371</v>
          </cell>
          <cell r="AB24">
            <v>-170.952056000001</v>
          </cell>
          <cell r="AC24">
            <v>10.309074</v>
          </cell>
          <cell r="AD24">
            <v>-181.261130000001</v>
          </cell>
          <cell r="AE24">
            <v>-157.530716</v>
          </cell>
          <cell r="AF24">
            <v>-145.973369</v>
          </cell>
          <cell r="AG24">
            <v>-11.5573470000001</v>
          </cell>
          <cell r="AH24">
            <v>0</v>
          </cell>
          <cell r="AI24">
            <v>-35.0899719999984</v>
          </cell>
        </row>
        <row r="25">
          <cell r="B25" t="str">
            <v>阿坝</v>
          </cell>
          <cell r="C25">
            <v>6921.197734</v>
          </cell>
          <cell r="D25">
            <v>6921.197734</v>
          </cell>
        </row>
        <row r="25">
          <cell r="F25">
            <v>0.395424633160755</v>
          </cell>
          <cell r="G25">
            <v>21</v>
          </cell>
          <cell r="H25">
            <v>2736.812075</v>
          </cell>
          <cell r="I25">
            <v>6824.57508</v>
          </cell>
          <cell r="J25">
            <v>6921.197734</v>
          </cell>
          <cell r="K25">
            <v>128.277499</v>
          </cell>
          <cell r="L25">
            <v>0</v>
          </cell>
          <cell r="M25">
            <v>459.622933</v>
          </cell>
          <cell r="N25">
            <v>-431.840387</v>
          </cell>
          <cell r="O25">
            <v>0</v>
          </cell>
          <cell r="P25">
            <v>3.872299</v>
          </cell>
          <cell r="Q25">
            <v>0</v>
          </cell>
          <cell r="R25">
            <v>656.280839</v>
          </cell>
          <cell r="S25">
            <v>1120.575709</v>
          </cell>
          <cell r="T25">
            <v>0</v>
          </cell>
          <cell r="U25">
            <v>1120.575709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12.862</v>
          </cell>
          <cell r="AB25">
            <v>-952.303575</v>
          </cell>
          <cell r="AC25">
            <v>0.528126000000071</v>
          </cell>
          <cell r="AD25">
            <v>-952.831701</v>
          </cell>
          <cell r="AE25">
            <v>-2996.703043</v>
          </cell>
          <cell r="AF25">
            <v>-2932.324581</v>
          </cell>
          <cell r="AG25">
            <v>-64.378462</v>
          </cell>
          <cell r="AH25">
            <v>0</v>
          </cell>
          <cell r="AI25">
            <v>338.400482999998</v>
          </cell>
        </row>
        <row r="26">
          <cell r="B26" t="str">
            <v>甘孜</v>
          </cell>
          <cell r="C26">
            <v>8445.188577</v>
          </cell>
          <cell r="D26">
            <v>8445.188577</v>
          </cell>
        </row>
        <row r="26">
          <cell r="F26">
            <v>0.627713682491048</v>
          </cell>
          <cell r="G26">
            <v>20</v>
          </cell>
          <cell r="H26">
            <v>5301.160421</v>
          </cell>
          <cell r="I26">
            <v>7872.966477</v>
          </cell>
          <cell r="J26">
            <v>8445.188577</v>
          </cell>
          <cell r="K26">
            <v>168.952532</v>
          </cell>
          <cell r="L26">
            <v>0.168829</v>
          </cell>
          <cell r="M26">
            <v>161.919405</v>
          </cell>
          <cell r="N26">
            <v>-569.247619</v>
          </cell>
          <cell r="O26">
            <v>0</v>
          </cell>
          <cell r="P26">
            <v>3.889817</v>
          </cell>
          <cell r="Q26">
            <v>0</v>
          </cell>
          <cell r="R26">
            <v>777.457202</v>
          </cell>
          <cell r="S26">
            <v>1084.379295</v>
          </cell>
          <cell r="T26">
            <v>0</v>
          </cell>
          <cell r="U26">
            <v>1084.379295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-18.503742</v>
          </cell>
          <cell r="AB26">
            <v>-1128.937317</v>
          </cell>
          <cell r="AC26">
            <v>8.472</v>
          </cell>
          <cell r="AD26">
            <v>-1137.409317</v>
          </cell>
          <cell r="AE26">
            <v>-1116.038804</v>
          </cell>
          <cell r="AF26">
            <v>-1041.21011</v>
          </cell>
          <cell r="AG26">
            <v>-74.828694</v>
          </cell>
          <cell r="AH26">
            <v>0</v>
          </cell>
          <cell r="AI26">
            <v>-38.4115840000004</v>
          </cell>
        </row>
        <row r="27">
          <cell r="B27" t="str">
            <v>凉山</v>
          </cell>
          <cell r="C27">
            <v>21729.329092</v>
          </cell>
          <cell r="D27">
            <v>21729.329092</v>
          </cell>
        </row>
        <row r="27">
          <cell r="F27">
            <v>0.755964436796519</v>
          </cell>
          <cell r="G27">
            <v>18</v>
          </cell>
          <cell r="H27">
            <v>16426.600029</v>
          </cell>
          <cell r="I27">
            <v>20563.632392</v>
          </cell>
          <cell r="J27">
            <v>21729.329092</v>
          </cell>
          <cell r="K27">
            <v>585.24404</v>
          </cell>
          <cell r="L27">
            <v>0</v>
          </cell>
          <cell r="M27">
            <v>44.618608</v>
          </cell>
          <cell r="N27">
            <v>-869.184831</v>
          </cell>
          <cell r="O27">
            <v>226.32876</v>
          </cell>
          <cell r="P27">
            <v>17.784803</v>
          </cell>
          <cell r="Q27">
            <v>0</v>
          </cell>
          <cell r="R27">
            <v>2177.556615</v>
          </cell>
          <cell r="S27">
            <v>1148.759668</v>
          </cell>
          <cell r="T27">
            <v>0</v>
          </cell>
          <cell r="U27">
            <v>922.430908</v>
          </cell>
          <cell r="V27">
            <v>226.32876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-31.0936189999998</v>
          </cell>
          <cell r="AB27">
            <v>-2676.503911</v>
          </cell>
          <cell r="AC27">
            <v>125.039668</v>
          </cell>
          <cell r="AD27">
            <v>-2801.543579</v>
          </cell>
          <cell r="AE27">
            <v>-1796.001587</v>
          </cell>
          <cell r="AF27">
            <v>-1603.967037</v>
          </cell>
          <cell r="AG27">
            <v>-191.812071</v>
          </cell>
          <cell r="AH27">
            <v>-0.222478999999911</v>
          </cell>
          <cell r="AI27">
            <v>-724.417431000006</v>
          </cell>
        </row>
        <row r="28">
          <cell r="B28" t="str">
            <v>市州合计</v>
          </cell>
          <cell r="C28">
            <v>498270.659212</v>
          </cell>
          <cell r="D28">
            <v>498270.659212</v>
          </cell>
        </row>
        <row r="28">
          <cell r="F28">
            <v>0.919373106466807</v>
          </cell>
        </row>
        <row r="28">
          <cell r="H28">
            <v>458096.643821</v>
          </cell>
          <cell r="I28">
            <v>476505.293676</v>
          </cell>
          <cell r="J28">
            <v>498270.659212</v>
          </cell>
          <cell r="K28">
            <v>12791.187673</v>
          </cell>
          <cell r="L28">
            <v>0.231894</v>
          </cell>
          <cell r="M28">
            <v>1879.733103</v>
          </cell>
          <cell r="N28">
            <v>-12268.952385</v>
          </cell>
          <cell r="O28">
            <v>879.168103</v>
          </cell>
          <cell r="P28">
            <v>520.983156</v>
          </cell>
          <cell r="Q28">
            <v>-14.658266</v>
          </cell>
          <cell r="R28">
            <v>47699.619617</v>
          </cell>
          <cell r="S28">
            <v>27797.202815</v>
          </cell>
          <cell r="T28">
            <v>228.382544</v>
          </cell>
          <cell r="U28">
            <v>29441.195101</v>
          </cell>
          <cell r="V28">
            <v>-1872.37483</v>
          </cell>
          <cell r="W28">
            <v>0</v>
          </cell>
          <cell r="X28">
            <v>-1.9151347174784e-14</v>
          </cell>
          <cell r="Y28">
            <v>89.980607</v>
          </cell>
          <cell r="Z28">
            <v>89.980607</v>
          </cell>
          <cell r="AA28">
            <v>170.399251999998</v>
          </cell>
          <cell r="AB28">
            <v>-20093.001978</v>
          </cell>
          <cell r="AC28">
            <v>155.996984</v>
          </cell>
          <cell r="AD28">
            <v>-20248.998962</v>
          </cell>
          <cell r="AE28">
            <v>-21257.712363</v>
          </cell>
          <cell r="AF28">
            <v>-19640.900282</v>
          </cell>
          <cell r="AG28">
            <v>-1521.812834</v>
          </cell>
          <cell r="AH28">
            <v>-94.9992469999998</v>
          </cell>
          <cell r="AI28">
            <v>3210.04693600002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8"/>
  <sheetViews>
    <sheetView tabSelected="1" zoomScale="85" zoomScaleNormal="85" topLeftCell="A2" workbookViewId="0">
      <pane xSplit="6" topLeftCell="G1" activePane="topRight" state="frozen"/>
      <selection/>
      <selection pane="topRight" activeCell="L37" sqref="L37"/>
    </sheetView>
  </sheetViews>
  <sheetFormatPr defaultColWidth="9" defaultRowHeight="14.4"/>
  <cols>
    <col min="1" max="1" width="6.22222222222222" style="3" customWidth="1"/>
    <col min="2" max="2" width="9.44444444444444" style="3" customWidth="1"/>
    <col min="3" max="3" width="12.7777777777778" style="3" customWidth="1"/>
    <col min="4" max="4" width="13.5555555555556" style="3" customWidth="1"/>
    <col min="5" max="6" width="11.6666666666667" style="3" customWidth="1"/>
    <col min="7" max="8" width="13" style="3" customWidth="1"/>
    <col min="9" max="10" width="9.55555555555556" style="3" customWidth="1"/>
    <col min="11" max="13" width="12.4444444444444" style="3" customWidth="1"/>
    <col min="14" max="14" width="9.88888888888889" style="3" customWidth="1"/>
    <col min="15" max="15" width="12.4444444444444" style="3" customWidth="1"/>
    <col min="16" max="16" width="13.8888888888889" style="3" customWidth="1"/>
    <col min="17" max="17" width="12.8888888888889" style="3" customWidth="1"/>
    <col min="18" max="18" width="11.8888888888889" style="3" customWidth="1"/>
    <col min="19" max="20" width="9" style="3" customWidth="1"/>
    <col min="21" max="21" width="6.88888888888889" style="3" customWidth="1"/>
    <col min="22" max="22" width="10.4444444444444" style="3" customWidth="1"/>
    <col min="23" max="24" width="10.4444444444444" style="4" customWidth="1"/>
    <col min="25" max="25" width="12.1111111111111" style="3" customWidth="1"/>
    <col min="26" max="27" width="10.4444444444444" style="3" customWidth="1"/>
    <col min="28" max="28" width="6.77777777777778" style="3" customWidth="1"/>
    <col min="29" max="29" width="10.4444444444444" style="3" customWidth="1"/>
    <col min="30" max="30" width="8.22222222222222" style="1" customWidth="1"/>
    <col min="31" max="31" width="10.4444444444444" style="3" customWidth="1"/>
    <col min="32" max="32" width="10.7777777777778" style="3" customWidth="1"/>
    <col min="33" max="36" width="9" style="3" customWidth="1"/>
    <col min="37" max="37" width="14.3333333333333" style="3" customWidth="1"/>
    <col min="38" max="38" width="13.5555555555556" style="3" customWidth="1"/>
    <col min="39" max="39" width="9.44444444444444" style="3" customWidth="1"/>
    <col min="40" max="41" width="9" style="3" customWidth="1"/>
    <col min="42" max="42" width="11.5555555555556" style="3" customWidth="1"/>
    <col min="43" max="58" width="10.6666666666667" style="3" customWidth="1"/>
    <col min="59" max="62" width="10.6666666666667" style="1" customWidth="1"/>
    <col min="63" max="63" width="9" style="3" customWidth="1"/>
    <col min="64" max="64" width="12.1111111111111" style="3" customWidth="1"/>
    <col min="65" max="65" width="13.7777777777778" style="3" customWidth="1"/>
    <col min="66" max="66" width="13.4444444444444" style="3" customWidth="1"/>
    <col min="67" max="67" width="13.8888888888889" style="3" customWidth="1"/>
    <col min="68" max="16384" width="9" style="3"/>
  </cols>
  <sheetData>
    <row r="1" ht="36" customHeight="1" spans="1:6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ht="61.2" customHeight="1" spans="1:68">
      <c r="A2" s="6" t="s">
        <v>1</v>
      </c>
      <c r="B2" s="6" t="s">
        <v>2</v>
      </c>
      <c r="C2" s="6" t="s">
        <v>3</v>
      </c>
      <c r="D2" s="6"/>
      <c r="E2" s="7" t="s">
        <v>4</v>
      </c>
      <c r="F2" s="8"/>
      <c r="G2" s="8"/>
      <c r="H2" s="9"/>
      <c r="I2" s="17" t="s">
        <v>5</v>
      </c>
      <c r="J2" s="17"/>
      <c r="K2" s="17"/>
      <c r="L2" s="17"/>
      <c r="M2" s="17"/>
      <c r="N2" s="17"/>
      <c r="O2" s="17"/>
      <c r="P2" s="18" t="s">
        <v>6</v>
      </c>
      <c r="Q2" s="18"/>
      <c r="R2" s="18"/>
      <c r="S2" s="18"/>
      <c r="T2" s="18"/>
      <c r="U2" s="18"/>
      <c r="V2" s="18"/>
      <c r="W2" s="26" t="s">
        <v>7</v>
      </c>
      <c r="X2" s="27"/>
      <c r="Y2" s="27"/>
      <c r="Z2" s="27"/>
      <c r="AA2" s="27"/>
      <c r="AB2" s="27"/>
      <c r="AC2" s="27"/>
      <c r="AD2" s="31"/>
      <c r="AE2" s="18" t="s">
        <v>8</v>
      </c>
      <c r="AF2" s="18"/>
      <c r="AG2" s="18"/>
      <c r="AH2" s="18"/>
      <c r="AI2" s="18"/>
      <c r="AJ2" s="18"/>
      <c r="AK2" s="18"/>
      <c r="AL2" s="39" t="s">
        <v>9</v>
      </c>
      <c r="AM2" s="40"/>
      <c r="AN2" s="40"/>
      <c r="AO2" s="40"/>
      <c r="AP2" s="40"/>
      <c r="AQ2" s="40"/>
      <c r="AR2" s="41"/>
      <c r="AS2" s="42" t="s">
        <v>10</v>
      </c>
      <c r="AT2" s="43"/>
      <c r="AU2" s="43"/>
      <c r="AV2" s="43"/>
      <c r="AW2" s="43"/>
      <c r="AX2" s="49"/>
      <c r="AY2" s="18" t="s">
        <v>11</v>
      </c>
      <c r="AZ2" s="18"/>
      <c r="BA2" s="18"/>
      <c r="BB2" s="18"/>
      <c r="BC2" s="18"/>
      <c r="BD2" s="18"/>
      <c r="BE2" s="18"/>
      <c r="BF2" s="18" t="s">
        <v>12</v>
      </c>
      <c r="BG2" s="18"/>
      <c r="BH2" s="18"/>
      <c r="BI2" s="18"/>
      <c r="BJ2" s="18"/>
      <c r="BK2" s="18"/>
      <c r="BL2" s="18" t="s">
        <v>13</v>
      </c>
      <c r="BM2" s="18"/>
      <c r="BN2" s="18"/>
      <c r="BO2" s="18"/>
      <c r="BP2" s="18"/>
    </row>
    <row r="3" ht="14.55" customHeight="1" spans="1:68">
      <c r="A3" s="6"/>
      <c r="B3" s="6"/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19" t="s">
        <v>20</v>
      </c>
      <c r="J3" s="19" t="s">
        <v>21</v>
      </c>
      <c r="K3" s="20" t="s">
        <v>22</v>
      </c>
      <c r="L3" s="20" t="s">
        <v>23</v>
      </c>
      <c r="M3" s="20" t="s">
        <v>24</v>
      </c>
      <c r="N3" s="21" t="s">
        <v>25</v>
      </c>
      <c r="O3" s="20" t="s">
        <v>26</v>
      </c>
      <c r="P3" s="19" t="s">
        <v>27</v>
      </c>
      <c r="Q3" s="19" t="s">
        <v>28</v>
      </c>
      <c r="R3" s="20" t="s">
        <v>29</v>
      </c>
      <c r="S3" s="20" t="s">
        <v>30</v>
      </c>
      <c r="T3" s="20" t="s">
        <v>31</v>
      </c>
      <c r="U3" s="21" t="s">
        <v>25</v>
      </c>
      <c r="V3" s="20" t="s">
        <v>32</v>
      </c>
      <c r="W3" s="19" t="s">
        <v>33</v>
      </c>
      <c r="X3" s="19" t="s">
        <v>34</v>
      </c>
      <c r="Y3" s="32" t="s">
        <v>35</v>
      </c>
      <c r="Z3" s="33" t="s">
        <v>36</v>
      </c>
      <c r="AA3" s="32" t="s">
        <v>37</v>
      </c>
      <c r="AB3" s="21" t="s">
        <v>25</v>
      </c>
      <c r="AC3" s="32" t="s">
        <v>38</v>
      </c>
      <c r="AD3" s="21" t="s">
        <v>25</v>
      </c>
      <c r="AE3" s="19" t="s">
        <v>39</v>
      </c>
      <c r="AF3" s="19" t="s">
        <v>40</v>
      </c>
      <c r="AG3" s="20" t="s">
        <v>41</v>
      </c>
      <c r="AH3" s="20" t="s">
        <v>42</v>
      </c>
      <c r="AI3" s="20" t="s">
        <v>43</v>
      </c>
      <c r="AJ3" s="21" t="s">
        <v>25</v>
      </c>
      <c r="AK3" s="20" t="s">
        <v>44</v>
      </c>
      <c r="AL3" s="19" t="s">
        <v>45</v>
      </c>
      <c r="AM3" s="19" t="s">
        <v>46</v>
      </c>
      <c r="AN3" s="20" t="s">
        <v>47</v>
      </c>
      <c r="AO3" s="21" t="s">
        <v>25</v>
      </c>
      <c r="AP3" s="20" t="s">
        <v>48</v>
      </c>
      <c r="AQ3" s="20" t="s">
        <v>49</v>
      </c>
      <c r="AR3" s="21" t="s">
        <v>25</v>
      </c>
      <c r="AS3" s="19" t="s">
        <v>50</v>
      </c>
      <c r="AT3" s="19" t="s">
        <v>51</v>
      </c>
      <c r="AU3" s="20" t="s">
        <v>52</v>
      </c>
      <c r="AV3" s="21" t="s">
        <v>25</v>
      </c>
      <c r="AW3" s="20" t="s">
        <v>53</v>
      </c>
      <c r="AX3" s="21" t="s">
        <v>25</v>
      </c>
      <c r="AY3" s="19" t="s">
        <v>54</v>
      </c>
      <c r="AZ3" s="19" t="s">
        <v>55</v>
      </c>
      <c r="BA3" s="50" t="s">
        <v>56</v>
      </c>
      <c r="BB3" s="20" t="s">
        <v>23</v>
      </c>
      <c r="BC3" s="20" t="s">
        <v>24</v>
      </c>
      <c r="BD3" s="21" t="s">
        <v>25</v>
      </c>
      <c r="BE3" s="20" t="s">
        <v>26</v>
      </c>
      <c r="BF3" s="19" t="s">
        <v>57</v>
      </c>
      <c r="BG3" s="19" t="s">
        <v>58</v>
      </c>
      <c r="BH3" s="20" t="s">
        <v>56</v>
      </c>
      <c r="BI3" s="20" t="s">
        <v>59</v>
      </c>
      <c r="BJ3" s="20" t="s">
        <v>60</v>
      </c>
      <c r="BK3" s="21" t="s">
        <v>25</v>
      </c>
      <c r="BL3" s="54" t="s">
        <v>61</v>
      </c>
      <c r="BM3" s="54" t="s">
        <v>62</v>
      </c>
      <c r="BN3" s="19" t="s">
        <v>63</v>
      </c>
      <c r="BO3" s="19" t="s">
        <v>64</v>
      </c>
      <c r="BP3" s="21" t="s">
        <v>25</v>
      </c>
    </row>
    <row r="4" ht="49.05" customHeight="1" spans="1:68">
      <c r="A4" s="6"/>
      <c r="B4" s="6"/>
      <c r="C4" s="6"/>
      <c r="D4" s="6"/>
      <c r="E4" s="6"/>
      <c r="F4" s="6"/>
      <c r="G4" s="6"/>
      <c r="H4" s="6"/>
      <c r="I4" s="19"/>
      <c r="J4" s="19"/>
      <c r="K4" s="20"/>
      <c r="L4" s="20"/>
      <c r="M4" s="20"/>
      <c r="N4" s="21"/>
      <c r="O4" s="20"/>
      <c r="P4" s="19"/>
      <c r="Q4" s="19"/>
      <c r="R4" s="20"/>
      <c r="S4" s="20"/>
      <c r="T4" s="20"/>
      <c r="U4" s="21"/>
      <c r="V4" s="20"/>
      <c r="W4" s="19"/>
      <c r="X4" s="19"/>
      <c r="Y4" s="34"/>
      <c r="Z4" s="35"/>
      <c r="AA4" s="34"/>
      <c r="AB4" s="21"/>
      <c r="AC4" s="34"/>
      <c r="AD4" s="21"/>
      <c r="AE4" s="19"/>
      <c r="AF4" s="19"/>
      <c r="AG4" s="20"/>
      <c r="AH4" s="20"/>
      <c r="AI4" s="20"/>
      <c r="AJ4" s="21"/>
      <c r="AK4" s="20"/>
      <c r="AL4" s="19"/>
      <c r="AM4" s="19"/>
      <c r="AN4" s="20"/>
      <c r="AO4" s="21"/>
      <c r="AP4" s="20"/>
      <c r="AQ4" s="20"/>
      <c r="AR4" s="21"/>
      <c r="AS4" s="19"/>
      <c r="AT4" s="19"/>
      <c r="AU4" s="20"/>
      <c r="AV4" s="21"/>
      <c r="AW4" s="20"/>
      <c r="AX4" s="21"/>
      <c r="AY4" s="19"/>
      <c r="AZ4" s="19"/>
      <c r="BA4" s="50"/>
      <c r="BB4" s="20"/>
      <c r="BC4" s="20"/>
      <c r="BD4" s="21"/>
      <c r="BE4" s="20"/>
      <c r="BF4" s="19"/>
      <c r="BG4" s="19"/>
      <c r="BH4" s="20"/>
      <c r="BI4" s="20"/>
      <c r="BJ4" s="20"/>
      <c r="BK4" s="21"/>
      <c r="BL4" s="54"/>
      <c r="BM4" s="54"/>
      <c r="BN4" s="19"/>
      <c r="BO4" s="19"/>
      <c r="BP4" s="21"/>
    </row>
    <row r="5" s="1" customFormat="1" ht="15" customHeight="1" spans="1:68">
      <c r="A5" s="10">
        <v>1</v>
      </c>
      <c r="B5" s="10" t="s">
        <v>65</v>
      </c>
      <c r="C5" s="11">
        <v>1035002.11179498</v>
      </c>
      <c r="D5" s="11">
        <v>180143.506828979</v>
      </c>
      <c r="E5" s="12">
        <v>1059462.06544745</v>
      </c>
      <c r="F5" s="12">
        <v>200299.183928018</v>
      </c>
      <c r="G5" s="13">
        <f t="shared" ref="G5:G25" si="0">E5/C5-1</f>
        <v>0.0236327572414801</v>
      </c>
      <c r="H5" s="13">
        <f t="shared" ref="H5:H25" si="1">F5/D5-1</f>
        <v>0.111886781010508</v>
      </c>
      <c r="I5" s="22">
        <f>VLOOKUP(B5,[4]计算结果表!$B$1:$AA$25,13,0)</f>
        <v>81543.131308</v>
      </c>
      <c r="J5" s="22">
        <f>VLOOKUP(B5,[2]计算结果表!$B$1:$AA$25,13,0)</f>
        <v>82522.457507</v>
      </c>
      <c r="K5" s="23">
        <f t="shared" ref="K5:K26" si="2">J5/I5-1</f>
        <v>0.0120099165103307</v>
      </c>
      <c r="L5" s="23">
        <f t="shared" ref="L5:L26" si="3">I5/C5</f>
        <v>0.0787854733615776</v>
      </c>
      <c r="M5" s="23">
        <f t="shared" ref="M5:M26" si="4">J5/E5</f>
        <v>0.0778909035050233</v>
      </c>
      <c r="N5" s="24">
        <f>RANK(M5,$M$5:$M$25,1)</f>
        <v>4</v>
      </c>
      <c r="O5" s="23">
        <f t="shared" ref="O5:O26" si="5">M5-L5</f>
        <v>-0.000894569856554339</v>
      </c>
      <c r="P5" s="22">
        <f>VLOOKUP(B5,[4]计算结果表!$B$1:$AA$25,15,0)</f>
        <v>54820.636655</v>
      </c>
      <c r="Q5" s="22">
        <f>VLOOKUP(B5,[2]计算结果表!$B$1:$AA$25,15,0)</f>
        <v>63932.288098</v>
      </c>
      <c r="R5" s="23">
        <f t="shared" ref="R5:R26" si="6">Q5/P5-1</f>
        <v>0.166208420751147</v>
      </c>
      <c r="S5" s="23">
        <f t="shared" ref="S5:S26" si="7">P5/D5</f>
        <v>0.304316473127419</v>
      </c>
      <c r="T5" s="23">
        <f t="shared" ref="T5:T26" si="8">Q5/F5</f>
        <v>0.319183966925075</v>
      </c>
      <c r="U5" s="24">
        <f>RANK(T5,$T$5:$T$25,1)</f>
        <v>2</v>
      </c>
      <c r="V5" s="23">
        <f t="shared" ref="V5:V26" si="9">T5-S5</f>
        <v>0.014867493797656</v>
      </c>
      <c r="W5" s="28">
        <f>VLOOKUP(B5,[2]计算结果表!$B$1:$T$25,18,0)</f>
        <v>10976.049698</v>
      </c>
      <c r="X5" s="28">
        <f>VLOOKUP(B5,[2]计算结果表!$B$1:$T$25,19,0)</f>
        <v>52956.2384</v>
      </c>
      <c r="Y5" s="36">
        <f>VLOOKUP(B5,[1]分ICT资源型数据!$B$1:$P$23,11,0)</f>
        <v>68355.35162</v>
      </c>
      <c r="Z5" s="36">
        <f>VLOOKUP(B5,[1]分ICT资源型数据!$B$1:$P$23,12,0)</f>
        <v>107234.609116</v>
      </c>
      <c r="AA5" s="23">
        <f t="shared" ref="AA5:AA26" si="10">W5/(Y5/11*12)</f>
        <v>0.147192262952086</v>
      </c>
      <c r="AB5" s="24">
        <f>RANK(AA5,$AA$5:$AA$25,1)</f>
        <v>3</v>
      </c>
      <c r="AC5" s="23">
        <f t="shared" ref="AC5:AC26" si="11">X5/(Z5/11*12)</f>
        <v>0.452682384292763</v>
      </c>
      <c r="AD5" s="24">
        <f>RANK(AC5,$AC$5:$AC$25,1)</f>
        <v>3</v>
      </c>
      <c r="AE5" s="37">
        <f>VLOOKUP(B5,[4]计算结果表!$B$1:$T$25,16,0)</f>
        <v>26722.494653</v>
      </c>
      <c r="AF5" s="37">
        <f>VLOOKUP(B5,[2]计算结果表!$B$1:$T$25,16,0)</f>
        <v>18590.169409</v>
      </c>
      <c r="AG5" s="13">
        <f t="shared" ref="AG5:AG26" si="12">AF5/AE5-1</f>
        <v>-0.304325077040928</v>
      </c>
      <c r="AH5" s="13">
        <f t="shared" ref="AH5:AH26" si="13">AE5/(C5-D5)</f>
        <v>0.0312595492374587</v>
      </c>
      <c r="AI5" s="13">
        <f t="shared" ref="AI5:AI26" si="14">AF5/(E5-F5)</f>
        <v>0.0216375378974977</v>
      </c>
      <c r="AJ5" s="24">
        <f>RANK(AI5,$AI$5:$AI$25,1)</f>
        <v>4</v>
      </c>
      <c r="AK5" s="13">
        <f t="shared" ref="AK5:AK26" si="15">AI5-AH5</f>
        <v>-0.00962201133996109</v>
      </c>
      <c r="AL5" s="22">
        <f>VLOOKUP(B5,'[5]查询结果(2025年2月)'!$A$2:$L$29,12,0)/10000</f>
        <v>15743.060857</v>
      </c>
      <c r="AM5" s="22">
        <f>VLOOKUP(B5,'[3]查询结果(2026年2月)'!$A$2:$L$29,12,0)/10000</f>
        <v>16511.890248</v>
      </c>
      <c r="AN5" s="23">
        <f t="shared" ref="AN5:AN26" si="16">AM5/AL5-1</f>
        <v>0.0488360807331916</v>
      </c>
      <c r="AO5" s="24">
        <f>RANK(AN5,$AN$5:$AN$25,1)</f>
        <v>4</v>
      </c>
      <c r="AP5" s="23">
        <f t="shared" ref="AP5:AP26" si="17">AL5/I5</f>
        <v>0.193064217727134</v>
      </c>
      <c r="AQ5" s="23">
        <f t="shared" ref="AQ5:AQ26" si="18">AM5/J5</f>
        <v>0.200089657371139</v>
      </c>
      <c r="AR5" s="24">
        <f>RANK(AQ5,$AQ$5:$AQ$25,1)</f>
        <v>13</v>
      </c>
      <c r="AS5" s="44">
        <f>VLOOKUP(B5,'[6]查询结果(2025年2月)'!$A$2:$L$29,12,0)/10000</f>
        <v>8325.644046</v>
      </c>
      <c r="AT5" s="44">
        <f>VLOOKUP(B5,'[7]查询结果(2026年2月)'!$A$2:$H$25,8,0)/10000</f>
        <v>10434.1992</v>
      </c>
      <c r="AU5" s="45">
        <f t="shared" ref="AU5:AU26" si="19">AT5/Q5</f>
        <v>0.16320703529343</v>
      </c>
      <c r="AV5" s="46">
        <f>RANK(AU5,$AU$5:$AU$25,1)</f>
        <v>8</v>
      </c>
      <c r="AW5" s="51">
        <f t="shared" ref="AW5:AW26" si="20">AT5/AS5-1</f>
        <v>0.25326030543103</v>
      </c>
      <c r="AX5" s="52">
        <f>RANK(AW5,$AW$5:$AW$25,1)</f>
        <v>5</v>
      </c>
      <c r="AY5" s="22">
        <f>VLOOKUP(B5,[4]计算结果表!$B$1:$T$25,17,0)</f>
        <v>88820.823189</v>
      </c>
      <c r="AZ5" s="22">
        <f>VLOOKUP(B5,[2]计算结果表!$B$1:$T$25,17,0)</f>
        <v>100298.478931</v>
      </c>
      <c r="BA5" s="23">
        <f t="shared" ref="BA5:BA26" si="21">AZ5/AY5-1</f>
        <v>0.129222577881055</v>
      </c>
      <c r="BB5" s="23">
        <f t="shared" ref="BB5:BB26" si="22">AY5/C5</f>
        <v>0.0858170453729414</v>
      </c>
      <c r="BC5" s="23">
        <f t="shared" ref="BC5:BC26" si="23">AZ5/E5</f>
        <v>0.0946692498033332</v>
      </c>
      <c r="BD5" s="24">
        <f>RANK(BC5,$BC$5:$BC$25,0)</f>
        <v>3</v>
      </c>
      <c r="BE5" s="23">
        <f t="shared" ref="BE5:BE26" si="24">BC5-BB5</f>
        <v>0.00885220443039178</v>
      </c>
      <c r="BF5" s="55">
        <f>VLOOKUP(B5,[4]计算结果表!$B$1:$T$25,9,0)</f>
        <v>1152.414898</v>
      </c>
      <c r="BG5" s="56">
        <f>VLOOKUP(B5,[2]计算结果表!$B$1:$T$25,9,0)</f>
        <v>1949.689312</v>
      </c>
      <c r="BH5" s="57">
        <f t="shared" ref="BH5:BH26" si="25">BG5/BF5-1</f>
        <v>0.691829318922949</v>
      </c>
      <c r="BI5" s="57">
        <f t="shared" ref="BI5:BI26" si="26">BF5/I5</f>
        <v>0.0141325808748644</v>
      </c>
      <c r="BJ5" s="57">
        <f t="shared" ref="BJ5:BJ26" si="27">BG5/J5</f>
        <v>0.0236261663903383</v>
      </c>
      <c r="BK5" s="58">
        <f>RANK(BJ5,$BJ$5:$BJ$25,1)</f>
        <v>4</v>
      </c>
      <c r="BL5" s="59">
        <f>VLOOKUP(B5,[8]市州营业收现率202502完成!$B$1:$AH$28,6,0)</f>
        <v>148792.174291</v>
      </c>
      <c r="BM5" s="59">
        <f>VLOOKUP(B5,[9]市州营业收现率2月完成!$B$1:$AI$28,7,0)</f>
        <v>154446.042295</v>
      </c>
      <c r="BN5" s="23">
        <f>VLOOKUP(B5,[8]市州营业收现率202502完成!$B$1:$AH$28,5,0)</f>
        <v>0.809646425267771</v>
      </c>
      <c r="BO5" s="23">
        <f>VLOOKUP(B5,[9]市州营业收现率2月完成!$B$1:$AI$28,5,0)</f>
        <v>0.898203133408652</v>
      </c>
      <c r="BP5" s="58">
        <f>RANK(BO5,$BO$5:$BO$25,0)</f>
        <v>15</v>
      </c>
    </row>
    <row r="6" s="1" customFormat="1" ht="15" customHeight="1" spans="1:68">
      <c r="A6" s="10">
        <v>2</v>
      </c>
      <c r="B6" s="10" t="s">
        <v>66</v>
      </c>
      <c r="C6" s="11">
        <v>181679.31450566</v>
      </c>
      <c r="D6" s="11">
        <v>18516.33890666</v>
      </c>
      <c r="E6" s="12">
        <v>186047.105255515</v>
      </c>
      <c r="F6" s="12">
        <v>22732.1052555154</v>
      </c>
      <c r="G6" s="13">
        <f t="shared" si="0"/>
        <v>0.024041211085255</v>
      </c>
      <c r="H6" s="13">
        <f t="shared" si="1"/>
        <v>0.227678180341529</v>
      </c>
      <c r="I6" s="22">
        <f>VLOOKUP(B6,[4]计算结果表!$B$1:$AA$25,13,0)</f>
        <v>10908.33206</v>
      </c>
      <c r="J6" s="22">
        <f>VLOOKUP(B6,[2]计算结果表!$B$1:$AA$25,13,0)</f>
        <v>14376.137658</v>
      </c>
      <c r="K6" s="23">
        <f t="shared" si="2"/>
        <v>0.317904293610218</v>
      </c>
      <c r="L6" s="23">
        <f t="shared" si="3"/>
        <v>0.0600416843804206</v>
      </c>
      <c r="M6" s="23">
        <f t="shared" si="4"/>
        <v>0.0772714933578567</v>
      </c>
      <c r="N6" s="24">
        <f>RANK(M6,$M$5:$M$25,1)</f>
        <v>3</v>
      </c>
      <c r="O6" s="23">
        <f t="shared" si="5"/>
        <v>0.0172298089774362</v>
      </c>
      <c r="P6" s="22">
        <f>VLOOKUP(B6,[4]计算结果表!$B$1:$AA$25,15,0)</f>
        <v>5534.935478</v>
      </c>
      <c r="Q6" s="22">
        <f>VLOOKUP(B6,[2]计算结果表!$B$1:$AA$25,15,0)</f>
        <v>8092.344419</v>
      </c>
      <c r="R6" s="23">
        <f t="shared" si="6"/>
        <v>0.462048555247856</v>
      </c>
      <c r="S6" s="23">
        <f t="shared" si="7"/>
        <v>0.298921698609069</v>
      </c>
      <c r="T6" s="23">
        <f t="shared" si="8"/>
        <v>0.355987460379922</v>
      </c>
      <c r="U6" s="24">
        <f>RANK(T6,$T$5:$T$25,1)</f>
        <v>4</v>
      </c>
      <c r="V6" s="23">
        <f t="shared" si="9"/>
        <v>0.0570657617708527</v>
      </c>
      <c r="W6" s="28">
        <f>VLOOKUP(B6,[2]计算结果表!$B$1:$T$25,18,0)</f>
        <v>1524.198983</v>
      </c>
      <c r="X6" s="28">
        <f>VLOOKUP(B6,[2]计算结果表!$B$1:$T$25,19,0)</f>
        <v>6568.145436</v>
      </c>
      <c r="Y6" s="36">
        <f>VLOOKUP(B6,[1]分ICT资源型数据!$B$1:$P$23,11,0)</f>
        <v>7341.013965</v>
      </c>
      <c r="Z6" s="36">
        <f>VLOOKUP(B6,[1]分ICT资源型数据!$B$1:$P$23,12,0)</f>
        <v>10540.179972</v>
      </c>
      <c r="AA6" s="23">
        <f t="shared" si="10"/>
        <v>0.190325533740261</v>
      </c>
      <c r="AB6" s="24">
        <f>RANK(AA6,$AA$5:$AA$25,1)</f>
        <v>7</v>
      </c>
      <c r="AC6" s="23">
        <f t="shared" si="11"/>
        <v>0.571223641246569</v>
      </c>
      <c r="AD6" s="24">
        <f>RANK(AC6,$AC$5:$AC$25,1)</f>
        <v>5</v>
      </c>
      <c r="AE6" s="37">
        <f>VLOOKUP(B6,[4]计算结果表!$B$1:$T$25,16,0)</f>
        <v>5373.396582</v>
      </c>
      <c r="AF6" s="37">
        <f>VLOOKUP(B6,[2]计算结果表!$B$1:$T$25,16,0)</f>
        <v>6283.793239</v>
      </c>
      <c r="AG6" s="13">
        <f t="shared" si="12"/>
        <v>0.169426663955845</v>
      </c>
      <c r="AH6" s="13">
        <f t="shared" si="13"/>
        <v>0.0329326954370213</v>
      </c>
      <c r="AI6" s="13">
        <f t="shared" si="14"/>
        <v>0.0384765222974008</v>
      </c>
      <c r="AJ6" s="24">
        <f>RANK(AI6,$AI$5:$AI$25,1)</f>
        <v>10</v>
      </c>
      <c r="AK6" s="13">
        <f t="shared" si="15"/>
        <v>0.00554382686037955</v>
      </c>
      <c r="AL6" s="22">
        <f>VLOOKUP(B6,'[5]查询结果(2025年2月)'!$A$2:$L$29,12,0)/10000</f>
        <v>815.062658</v>
      </c>
      <c r="AM6" s="22">
        <f>VLOOKUP(B6,'[3]查询结果(2026年2月)'!$A$2:$L$29,12,0)/10000</f>
        <v>2256.144406</v>
      </c>
      <c r="AN6" s="23">
        <f t="shared" si="16"/>
        <v>1.76806253342059</v>
      </c>
      <c r="AO6" s="24">
        <f>RANK(AN6,$AN$5:$AN$25,1)</f>
        <v>14</v>
      </c>
      <c r="AP6" s="23">
        <f t="shared" si="17"/>
        <v>0.074719274543243</v>
      </c>
      <c r="AQ6" s="23">
        <f t="shared" si="18"/>
        <v>0.1569367558709</v>
      </c>
      <c r="AR6" s="24">
        <f>RANK(AQ6,$AQ$5:$AQ$25,1)</f>
        <v>8</v>
      </c>
      <c r="AS6" s="44">
        <f>VLOOKUP(B6,'[6]查询结果(2025年2月)'!$A$2:$L$29,12,0)/10000</f>
        <v>377.50273</v>
      </c>
      <c r="AT6" s="44">
        <f>VLOOKUP(B6,'[7]查询结果(2026年2月)'!$A$2:$H$25,8,0)/10000</f>
        <v>1570.813013</v>
      </c>
      <c r="AU6" s="45">
        <f t="shared" si="19"/>
        <v>0.1941109932632</v>
      </c>
      <c r="AV6" s="46">
        <f>RANK(AU6,$AU$5:$AU$25,1)</f>
        <v>11</v>
      </c>
      <c r="AW6" s="51">
        <f t="shared" si="20"/>
        <v>3.16106398223928</v>
      </c>
      <c r="AX6" s="52">
        <f>RANK(AW6,$AW$5:$AW$25,1)</f>
        <v>18</v>
      </c>
      <c r="AY6" s="22">
        <f>VLOOKUP(B6,[4]计算结果表!$B$1:$T$25,17,0)</f>
        <v>11137.634288</v>
      </c>
      <c r="AZ6" s="22">
        <f>VLOOKUP(B6,[2]计算结果表!$B$1:$T$25,17,0)</f>
        <v>12495.647751</v>
      </c>
      <c r="BA6" s="23">
        <f t="shared" si="21"/>
        <v>0.121930153916363</v>
      </c>
      <c r="BB6" s="23">
        <f t="shared" si="22"/>
        <v>0.0613038106088463</v>
      </c>
      <c r="BC6" s="23">
        <f t="shared" si="23"/>
        <v>0.0671638923585434</v>
      </c>
      <c r="BD6" s="24">
        <f>RANK(BC6,$BC$5:$BC$25,0)</f>
        <v>11</v>
      </c>
      <c r="BE6" s="23">
        <f t="shared" si="24"/>
        <v>0.0058600817496971</v>
      </c>
      <c r="BF6" s="55">
        <f>VLOOKUP(B6,[4]计算结果表!$B$1:$T$25,9,0)</f>
        <v>291.050386</v>
      </c>
      <c r="BG6" s="56">
        <f>VLOOKUP(B6,[2]计算结果表!$B$1:$T$25,9,0)</f>
        <v>900.07552</v>
      </c>
      <c r="BH6" s="57">
        <f t="shared" si="25"/>
        <v>2.09250756327806</v>
      </c>
      <c r="BI6" s="57">
        <f t="shared" si="26"/>
        <v>0.026681474711176</v>
      </c>
      <c r="BJ6" s="57">
        <f t="shared" si="27"/>
        <v>0.0626089942523003</v>
      </c>
      <c r="BK6" s="58">
        <f>RANK(BJ6,$BJ$5:$BJ$25,1)</f>
        <v>15</v>
      </c>
      <c r="BL6" s="59">
        <f>VLOOKUP(B6,[8]市州营业收现率202502完成!$B$1:$AH$28,6,0)</f>
        <v>27880.596729</v>
      </c>
      <c r="BM6" s="59">
        <f>VLOOKUP(B6,[9]市州营业收现率2月完成!$B$1:$AI$28,7,0)</f>
        <v>29229.938591</v>
      </c>
      <c r="BN6" s="23">
        <f>VLOOKUP(B6,[8]市州营业收现率202502完成!$B$1:$AH$28,5,0)</f>
        <v>0.903031234670958</v>
      </c>
      <c r="BO6" s="23">
        <f>VLOOKUP(B6,[9]市州营业收现率2月完成!$B$1:$AI$28,5,0)</f>
        <v>0.961948280448952</v>
      </c>
      <c r="BP6" s="58">
        <f>RANK(BO6,$BO$5:$BO$25,0)</f>
        <v>10</v>
      </c>
    </row>
    <row r="7" s="1" customFormat="1" ht="15" customHeight="1" spans="1:68">
      <c r="A7" s="10">
        <v>3</v>
      </c>
      <c r="B7" s="10" t="s">
        <v>67</v>
      </c>
      <c r="C7" s="11">
        <v>179641.910012241</v>
      </c>
      <c r="D7" s="11">
        <v>12469.678737241</v>
      </c>
      <c r="E7" s="12">
        <v>184491.848760375</v>
      </c>
      <c r="F7" s="12">
        <v>16842.1827603748</v>
      </c>
      <c r="G7" s="13">
        <f t="shared" si="0"/>
        <v>0.0269978133042759</v>
      </c>
      <c r="H7" s="13">
        <f t="shared" si="1"/>
        <v>0.350650896087259</v>
      </c>
      <c r="I7" s="22">
        <f>VLOOKUP(B7,[4]计算结果表!$B$1:$AA$25,13,0)</f>
        <v>13775.582795</v>
      </c>
      <c r="J7" s="22">
        <f>VLOOKUP(B7,[2]计算结果表!$B$1:$AA$25,13,0)</f>
        <v>19561.608505</v>
      </c>
      <c r="K7" s="23">
        <f t="shared" si="2"/>
        <v>0.420020393772386</v>
      </c>
      <c r="L7" s="23">
        <f t="shared" si="3"/>
        <v>0.0766835689626175</v>
      </c>
      <c r="M7" s="23">
        <f t="shared" si="4"/>
        <v>0.106029662754409</v>
      </c>
      <c r="N7" s="24">
        <f>RANK(M7,$M$5:$M$25,1)</f>
        <v>12</v>
      </c>
      <c r="O7" s="23">
        <f t="shared" si="5"/>
        <v>0.0293460937917916</v>
      </c>
      <c r="P7" s="22">
        <f>VLOOKUP(B7,[4]计算结果表!$B$1:$AA$25,15,0)</f>
        <v>6959.266948</v>
      </c>
      <c r="Q7" s="22">
        <f>VLOOKUP(B7,[2]计算结果表!$B$1:$AA$25,15,0)</f>
        <v>10678.083326</v>
      </c>
      <c r="R7" s="23">
        <f t="shared" si="6"/>
        <v>0.534368979633514</v>
      </c>
      <c r="S7" s="23">
        <f t="shared" si="7"/>
        <v>0.558095127761069</v>
      </c>
      <c r="T7" s="23">
        <f t="shared" si="8"/>
        <v>0.634008280157291</v>
      </c>
      <c r="U7" s="24">
        <f>RANK(T7,$T$5:$T$25,1)</f>
        <v>19</v>
      </c>
      <c r="V7" s="23">
        <f t="shared" si="9"/>
        <v>0.0759131523962219</v>
      </c>
      <c r="W7" s="28">
        <f>VLOOKUP(B7,[2]计算结果表!$B$1:$T$25,18,0)</f>
        <v>1230.032724</v>
      </c>
      <c r="X7" s="28">
        <f>VLOOKUP(B7,[2]计算结果表!$B$1:$T$25,19,0)</f>
        <v>9448.050602</v>
      </c>
      <c r="Y7" s="36">
        <f>VLOOKUP(B7,[1]分ICT资源型数据!$B$1:$P$23,11,0)</f>
        <v>4709.5539</v>
      </c>
      <c r="Z7" s="36">
        <f>VLOOKUP(B7,[1]分ICT资源型数据!$B$1:$P$23,12,0)</f>
        <v>9514.67531</v>
      </c>
      <c r="AA7" s="23">
        <f t="shared" si="10"/>
        <v>0.239413333182151</v>
      </c>
      <c r="AB7" s="24">
        <f>RANK(AA7,$AA$5:$AA$25,1)</f>
        <v>10</v>
      </c>
      <c r="AC7" s="23">
        <f t="shared" si="11"/>
        <v>0.910247882314056</v>
      </c>
      <c r="AD7" s="24">
        <f>RANK(AC7,$AC$5:$AC$25,1)</f>
        <v>20</v>
      </c>
      <c r="AE7" s="37">
        <f>VLOOKUP(B7,[4]计算结果表!$B$1:$T$25,16,0)</f>
        <v>6816.315847</v>
      </c>
      <c r="AF7" s="37">
        <f>VLOOKUP(B7,[2]计算结果表!$B$1:$T$25,16,0)</f>
        <v>8883.525179</v>
      </c>
      <c r="AG7" s="13">
        <f t="shared" si="12"/>
        <v>0.303273700691235</v>
      </c>
      <c r="AH7" s="13">
        <f t="shared" si="13"/>
        <v>0.0407742110936301</v>
      </c>
      <c r="AI7" s="13">
        <f t="shared" si="14"/>
        <v>0.0529886243793649</v>
      </c>
      <c r="AJ7" s="24">
        <f>RANK(AI7,$AI$5:$AI$25,1)</f>
        <v>18</v>
      </c>
      <c r="AK7" s="13">
        <f t="shared" si="15"/>
        <v>0.0122144132857349</v>
      </c>
      <c r="AL7" s="22">
        <f>VLOOKUP(B7,'[5]查询结果(2025年2月)'!$A$2:$L$29,12,0)/10000</f>
        <v>2750.382983</v>
      </c>
      <c r="AM7" s="22">
        <f>VLOOKUP(B7,'[3]查询结果(2026年2月)'!$A$2:$L$29,12,0)/10000</f>
        <v>3941.55672</v>
      </c>
      <c r="AN7" s="23">
        <f t="shared" si="16"/>
        <v>0.433093770708514</v>
      </c>
      <c r="AO7" s="24">
        <f>RANK(AN7,$AN$5:$AN$25,1)</f>
        <v>6</v>
      </c>
      <c r="AP7" s="23">
        <f t="shared" si="17"/>
        <v>0.199656379256657</v>
      </c>
      <c r="AQ7" s="23">
        <f t="shared" si="18"/>
        <v>0.201494509973069</v>
      </c>
      <c r="AR7" s="24">
        <f>RANK(AQ7,$AQ$5:$AQ$25,1)</f>
        <v>14</v>
      </c>
      <c r="AS7" s="44">
        <f>VLOOKUP(B7,'[6]查询结果(2025年2月)'!$A$2:$L$29,12,0)/10000</f>
        <v>2438.971537</v>
      </c>
      <c r="AT7" s="44">
        <f>VLOOKUP(B7,'[7]查询结果(2026年2月)'!$A$2:$H$25,8,0)/10000</f>
        <v>3067.260142</v>
      </c>
      <c r="AU7" s="45">
        <f t="shared" si="19"/>
        <v>0.287248193178222</v>
      </c>
      <c r="AV7" s="46">
        <f>RANK(AU7,$AU$5:$AU$25,1)</f>
        <v>17</v>
      </c>
      <c r="AW7" s="51">
        <f t="shared" si="20"/>
        <v>0.257603910282943</v>
      </c>
      <c r="AX7" s="52">
        <f>RANK(AW7,$AW$5:$AW$25,1)</f>
        <v>6</v>
      </c>
      <c r="AY7" s="22">
        <f>VLOOKUP(B7,[4]计算结果表!$B$1:$T$25,17,0)</f>
        <v>7706.417541</v>
      </c>
      <c r="AZ7" s="22">
        <f>VLOOKUP(B7,[2]计算结果表!$B$1:$T$25,17,0)</f>
        <v>9912.539714</v>
      </c>
      <c r="BA7" s="23">
        <f t="shared" si="21"/>
        <v>0.286270781626209</v>
      </c>
      <c r="BB7" s="23">
        <f t="shared" si="22"/>
        <v>0.0428987731230139</v>
      </c>
      <c r="BC7" s="23">
        <f t="shared" si="23"/>
        <v>0.0537288762652858</v>
      </c>
      <c r="BD7" s="24">
        <f>RANK(BC7,$BC$5:$BC$25,0)</f>
        <v>17</v>
      </c>
      <c r="BE7" s="23">
        <f t="shared" si="24"/>
        <v>0.0108301031422719</v>
      </c>
      <c r="BF7" s="55">
        <f>VLOOKUP(B7,[4]计算结果表!$B$1:$T$25,9,0)</f>
        <v>596.689917</v>
      </c>
      <c r="BG7" s="56">
        <f>VLOOKUP(B7,[2]计算结果表!$B$1:$T$25,9,0)</f>
        <v>881.897856</v>
      </c>
      <c r="BH7" s="57">
        <f t="shared" si="25"/>
        <v>0.477983506800233</v>
      </c>
      <c r="BI7" s="57">
        <f t="shared" si="26"/>
        <v>0.0433150397975594</v>
      </c>
      <c r="BJ7" s="57">
        <f t="shared" si="27"/>
        <v>0.0450830950724008</v>
      </c>
      <c r="BK7" s="58">
        <f>RANK(BJ7,$BJ$5:$BJ$25,1)</f>
        <v>13</v>
      </c>
      <c r="BL7" s="59">
        <f>VLOOKUP(B7,[8]市州营业收现率202502完成!$B$1:$AH$28,6,0)</f>
        <v>29560.440078</v>
      </c>
      <c r="BM7" s="59">
        <f>VLOOKUP(B7,[9]市州营业收现率2月完成!$B$1:$AI$28,7,0)</f>
        <v>30202.631809</v>
      </c>
      <c r="BN7" s="23">
        <f>VLOOKUP(B7,[8]市州营业收现率202502完成!$B$1:$AH$28,5,0)</f>
        <v>0.948666296924326</v>
      </c>
      <c r="BO7" s="23">
        <f>VLOOKUP(B7,[9]市州营业收现率2月完成!$B$1:$AI$28,5,0)</f>
        <v>0.989974229498954</v>
      </c>
      <c r="BP7" s="58">
        <f>RANK(BO7,$BO$5:$BO$25,0)</f>
        <v>9</v>
      </c>
    </row>
    <row r="8" s="1" customFormat="1" ht="15" customHeight="1" spans="1:68">
      <c r="A8" s="10">
        <v>4</v>
      </c>
      <c r="B8" s="10" t="s">
        <v>68</v>
      </c>
      <c r="C8" s="11">
        <v>162553.548497828</v>
      </c>
      <c r="D8" s="11">
        <v>16331.3692348284</v>
      </c>
      <c r="E8" s="12">
        <v>164815.203855653</v>
      </c>
      <c r="F8" s="12">
        <v>18361.203855653</v>
      </c>
      <c r="G8" s="13">
        <f t="shared" si="0"/>
        <v>0.0139132942880988</v>
      </c>
      <c r="H8" s="13">
        <f t="shared" si="1"/>
        <v>0.124290535082371</v>
      </c>
      <c r="I8" s="22">
        <f>VLOOKUP(B8,[4]计算结果表!$B$1:$AA$25,13,0)</f>
        <v>12522.228801</v>
      </c>
      <c r="J8" s="22">
        <f>VLOOKUP(B8,[2]计算结果表!$B$1:$AA$25,13,0)</f>
        <v>13657.438266</v>
      </c>
      <c r="K8" s="23">
        <f t="shared" si="2"/>
        <v>0.0906555440760948</v>
      </c>
      <c r="L8" s="23">
        <f t="shared" si="3"/>
        <v>0.0770344844312477</v>
      </c>
      <c r="M8" s="23">
        <f t="shared" si="4"/>
        <v>0.082865160170304</v>
      </c>
      <c r="N8" s="24">
        <f>RANK(M8,$M$5:$M$25,1)</f>
        <v>6</v>
      </c>
      <c r="O8" s="23">
        <f t="shared" si="5"/>
        <v>0.00583067573905634</v>
      </c>
      <c r="P8" s="22">
        <f>VLOOKUP(B8,[4]计算结果表!$B$1:$AA$25,15,0)</f>
        <v>7588.030272</v>
      </c>
      <c r="Q8" s="22">
        <f>VLOOKUP(B8,[2]计算结果表!$B$1:$AA$25,15,0)</f>
        <v>9443.863746</v>
      </c>
      <c r="R8" s="23">
        <f t="shared" si="6"/>
        <v>0.244573809997578</v>
      </c>
      <c r="S8" s="23">
        <f t="shared" si="7"/>
        <v>0.464629154046539</v>
      </c>
      <c r="T8" s="23">
        <f t="shared" si="8"/>
        <v>0.51433793885429</v>
      </c>
      <c r="U8" s="24">
        <f>RANK(T8,$T$5:$T$25,1)</f>
        <v>13</v>
      </c>
      <c r="V8" s="23">
        <f t="shared" si="9"/>
        <v>0.0497087848077503</v>
      </c>
      <c r="W8" s="28">
        <f>VLOOKUP(B8,[2]计算结果表!$B$1:$T$25,18,0)</f>
        <v>1877.812156</v>
      </c>
      <c r="X8" s="28">
        <f>VLOOKUP(B8,[2]计算结果表!$B$1:$T$25,19,0)</f>
        <v>7566.05159</v>
      </c>
      <c r="Y8" s="36">
        <f>VLOOKUP(B8,[1]分ICT资源型数据!$B$1:$P$23,11,0)</f>
        <v>4667.584299</v>
      </c>
      <c r="Z8" s="36">
        <f>VLOOKUP(B8,[1]分ICT资源型数据!$B$1:$P$23,12,0)</f>
        <v>9556.183181</v>
      </c>
      <c r="AA8" s="23">
        <f t="shared" si="10"/>
        <v>0.368783443297521</v>
      </c>
      <c r="AB8" s="24">
        <f>RANK(AA8,$AA$5:$AA$25,1)</f>
        <v>18</v>
      </c>
      <c r="AC8" s="23">
        <f t="shared" si="11"/>
        <v>0.725765419045428</v>
      </c>
      <c r="AD8" s="24">
        <f>RANK(AC8,$AC$5:$AC$25,1)</f>
        <v>14</v>
      </c>
      <c r="AE8" s="37">
        <f>VLOOKUP(B8,[4]计算结果表!$B$1:$T$25,16,0)</f>
        <v>4934.198529</v>
      </c>
      <c r="AF8" s="37">
        <f>VLOOKUP(B8,[2]计算结果表!$B$1:$T$25,16,0)</f>
        <v>4213.57452</v>
      </c>
      <c r="AG8" s="13">
        <f t="shared" si="12"/>
        <v>-0.146046820930419</v>
      </c>
      <c r="AH8" s="13">
        <f t="shared" si="13"/>
        <v>0.0337445287292922</v>
      </c>
      <c r="AI8" s="13">
        <f t="shared" si="14"/>
        <v>0.0287706346019911</v>
      </c>
      <c r="AJ8" s="24">
        <f>RANK(AI8,$AI$5:$AI$25,1)</f>
        <v>6</v>
      </c>
      <c r="AK8" s="13">
        <f t="shared" si="15"/>
        <v>-0.00497389412730111</v>
      </c>
      <c r="AL8" s="22">
        <f>VLOOKUP(B8,'[5]查询结果(2025年2月)'!$A$2:$L$29,12,0)/10000</f>
        <v>1848.005421</v>
      </c>
      <c r="AM8" s="22">
        <f>VLOOKUP(B8,'[3]查询结果(2026年2月)'!$A$2:$L$29,12,0)/10000</f>
        <v>4136.887631</v>
      </c>
      <c r="AN8" s="23">
        <f t="shared" si="16"/>
        <v>1.23856899118912</v>
      </c>
      <c r="AO8" s="24">
        <f>RANK(AN8,$AN$5:$AN$25,1)</f>
        <v>12</v>
      </c>
      <c r="AP8" s="23">
        <f t="shared" si="17"/>
        <v>0.147577995129144</v>
      </c>
      <c r="AQ8" s="23">
        <f t="shared" si="18"/>
        <v>0.302903630272942</v>
      </c>
      <c r="AR8" s="24">
        <f>RANK(AQ8,$AQ$5:$AQ$25,1)</f>
        <v>19</v>
      </c>
      <c r="AS8" s="44">
        <f>VLOOKUP(B8,'[6]查询结果(2025年2月)'!$A$2:$L$29,12,0)/10000</f>
        <v>1192.049621</v>
      </c>
      <c r="AT8" s="44">
        <f>VLOOKUP(B8,'[7]查询结果(2026年2月)'!$A$2:$H$25,8,0)/10000</f>
        <v>3004.146945</v>
      </c>
      <c r="AU8" s="45">
        <f t="shared" si="19"/>
        <v>0.318105706075273</v>
      </c>
      <c r="AV8" s="46">
        <f>RANK(AU8,$AU$5:$AU$25,1)</f>
        <v>19</v>
      </c>
      <c r="AW8" s="51">
        <f t="shared" si="20"/>
        <v>1.520152594386</v>
      </c>
      <c r="AX8" s="52">
        <f>RANK(AW8,$AW$5:$AW$25,1)</f>
        <v>11</v>
      </c>
      <c r="AY8" s="22">
        <f>VLOOKUP(B8,[4]计算结果表!$B$1:$T$25,17,0)</f>
        <v>7850.162419</v>
      </c>
      <c r="AZ8" s="22">
        <f>VLOOKUP(B8,[2]计算结果表!$B$1:$T$25,17,0)</f>
        <v>8176.611537</v>
      </c>
      <c r="BA8" s="23">
        <f t="shared" si="21"/>
        <v>0.0415850144972649</v>
      </c>
      <c r="BB8" s="23">
        <f t="shared" si="22"/>
        <v>0.048292777927914</v>
      </c>
      <c r="BC8" s="23">
        <f t="shared" si="23"/>
        <v>0.0496107843555572</v>
      </c>
      <c r="BD8" s="24">
        <f>RANK(BC8,$BC$5:$BC$25,0)</f>
        <v>19</v>
      </c>
      <c r="BE8" s="23">
        <f t="shared" si="24"/>
        <v>0.00131800642764322</v>
      </c>
      <c r="BF8" s="55">
        <f>VLOOKUP(B8,[4]计算结果表!$B$1:$T$25,9,0)</f>
        <v>584.473499</v>
      </c>
      <c r="BG8" s="56">
        <f>VLOOKUP(B8,[2]计算结果表!$B$1:$T$25,9,0)</f>
        <v>1540.66342</v>
      </c>
      <c r="BH8" s="57">
        <f t="shared" si="25"/>
        <v>1.63598507483399</v>
      </c>
      <c r="BI8" s="57">
        <f t="shared" si="26"/>
        <v>0.0466748777943847</v>
      </c>
      <c r="BJ8" s="57">
        <f t="shared" si="27"/>
        <v>0.112807642984956</v>
      </c>
      <c r="BK8" s="58">
        <f>RANK(BJ8,$BJ$5:$BJ$25,1)</f>
        <v>21</v>
      </c>
      <c r="BL8" s="59">
        <f>VLOOKUP(B8,[8]市州营业收现率202502完成!$B$1:$AH$28,6,0)</f>
        <v>24784.981928</v>
      </c>
      <c r="BM8" s="59">
        <f>VLOOKUP(B8,[9]市州营业收现率2月完成!$B$1:$AI$28,7,0)</f>
        <v>24775.508351</v>
      </c>
      <c r="BN8" s="23">
        <f>VLOOKUP(B8,[8]市州营业收现率202502完成!$B$1:$AH$28,5,0)</f>
        <v>0.897877134823078</v>
      </c>
      <c r="BO8" s="23">
        <f>VLOOKUP(B8,[9]市州营业收现率2月完成!$B$1:$AI$28,5,0)</f>
        <v>0.92939689308782</v>
      </c>
      <c r="BP8" s="58">
        <f>RANK(BO8,$BO$5:$BO$25,0)</f>
        <v>12</v>
      </c>
    </row>
    <row r="9" s="1" customFormat="1" ht="15" customHeight="1" spans="1:68">
      <c r="A9" s="10">
        <v>5</v>
      </c>
      <c r="B9" s="10" t="s">
        <v>69</v>
      </c>
      <c r="C9" s="11">
        <v>140988.952175012</v>
      </c>
      <c r="D9" s="11">
        <v>21848.2972250117</v>
      </c>
      <c r="E9" s="12">
        <v>143570.11985534</v>
      </c>
      <c r="F9" s="12">
        <v>24548.1198553395</v>
      </c>
      <c r="G9" s="13">
        <f t="shared" si="0"/>
        <v>0.0183075882224015</v>
      </c>
      <c r="H9" s="13">
        <f t="shared" si="1"/>
        <v>0.123571306382498</v>
      </c>
      <c r="I9" s="22">
        <f>VLOOKUP(B9,[4]计算结果表!$B$1:$AA$25,13,0)</f>
        <v>9388.606217</v>
      </c>
      <c r="J9" s="22">
        <f>VLOOKUP(B9,[2]计算结果表!$B$1:$AA$25,13,0)</f>
        <v>15729.877399</v>
      </c>
      <c r="K9" s="23">
        <f t="shared" si="2"/>
        <v>0.675421999329126</v>
      </c>
      <c r="L9" s="23">
        <f t="shared" si="3"/>
        <v>0.0665910773302703</v>
      </c>
      <c r="M9" s="23">
        <f t="shared" si="4"/>
        <v>0.109562333825794</v>
      </c>
      <c r="N9" s="24">
        <f>RANK(M9,$M$5:$M$25,1)</f>
        <v>14</v>
      </c>
      <c r="O9" s="23">
        <f t="shared" si="5"/>
        <v>0.0429712564955236</v>
      </c>
      <c r="P9" s="22">
        <f>VLOOKUP(B9,[4]计算结果表!$B$1:$AA$25,15,0)</f>
        <v>6076.602572</v>
      </c>
      <c r="Q9" s="22">
        <f>VLOOKUP(B9,[2]计算结果表!$B$1:$AA$25,15,0)</f>
        <v>9593.077259</v>
      </c>
      <c r="R9" s="23">
        <f t="shared" si="6"/>
        <v>0.578690912452189</v>
      </c>
      <c r="S9" s="23">
        <f t="shared" si="7"/>
        <v>0.278127055368121</v>
      </c>
      <c r="T9" s="23">
        <f t="shared" si="8"/>
        <v>0.390786639283635</v>
      </c>
      <c r="U9" s="24">
        <f>RANK(T9,$T$5:$T$25,1)</f>
        <v>6</v>
      </c>
      <c r="V9" s="23">
        <f t="shared" si="9"/>
        <v>0.112659583915514</v>
      </c>
      <c r="W9" s="28">
        <f>VLOOKUP(B9,[2]计算结果表!$B$1:$T$25,18,0)</f>
        <v>2341.495175</v>
      </c>
      <c r="X9" s="28">
        <f>VLOOKUP(B9,[2]计算结果表!$B$1:$T$25,19,0)</f>
        <v>7251.582084</v>
      </c>
      <c r="Y9" s="36">
        <f>VLOOKUP(B9,[1]分ICT资源型数据!$B$1:$P$23,11,0)</f>
        <v>8210.713034</v>
      </c>
      <c r="Z9" s="36">
        <f>VLOOKUP(B9,[1]分ICT资源型数据!$B$1:$P$23,12,0)</f>
        <v>11679.423886</v>
      </c>
      <c r="AA9" s="23">
        <f t="shared" si="10"/>
        <v>0.261410984429167</v>
      </c>
      <c r="AB9" s="24">
        <f>RANK(AA9,$AA$5:$AA$25,1)</f>
        <v>12</v>
      </c>
      <c r="AC9" s="23">
        <f t="shared" si="11"/>
        <v>0.569144817576835</v>
      </c>
      <c r="AD9" s="24">
        <f>RANK(AC9,$AC$5:$AC$25,1)</f>
        <v>4</v>
      </c>
      <c r="AE9" s="37">
        <f>VLOOKUP(B9,[4]计算结果表!$B$1:$T$25,16,0)</f>
        <v>3312.003645</v>
      </c>
      <c r="AF9" s="37">
        <f>VLOOKUP(B9,[2]计算结果表!$B$1:$T$25,16,0)</f>
        <v>6136.80014</v>
      </c>
      <c r="AG9" s="13">
        <f t="shared" si="12"/>
        <v>0.852896553801951</v>
      </c>
      <c r="AH9" s="13">
        <f t="shared" si="13"/>
        <v>0.027799105573072</v>
      </c>
      <c r="AI9" s="13">
        <f t="shared" si="14"/>
        <v>0.0515602169346841</v>
      </c>
      <c r="AJ9" s="24">
        <f>RANK(AI9,$AI$5:$AI$25,1)</f>
        <v>17</v>
      </c>
      <c r="AK9" s="13">
        <f t="shared" si="15"/>
        <v>0.0237611113616121</v>
      </c>
      <c r="AL9" s="22">
        <f>VLOOKUP(B9,'[5]查询结果(2025年2月)'!$A$2:$L$29,12,0)/10000</f>
        <v>557.06131</v>
      </c>
      <c r="AM9" s="22">
        <f>VLOOKUP(B9,'[3]查询结果(2026年2月)'!$A$2:$L$29,12,0)/10000</f>
        <v>2401.091691</v>
      </c>
      <c r="AN9" s="23">
        <f t="shared" si="16"/>
        <v>3.31028263477857</v>
      </c>
      <c r="AO9" s="24">
        <f>RANK(AN9,$AN$5:$AN$25,1)</f>
        <v>21</v>
      </c>
      <c r="AP9" s="23">
        <f t="shared" si="17"/>
        <v>0.0593337602115345</v>
      </c>
      <c r="AQ9" s="23">
        <f t="shared" si="18"/>
        <v>0.152645289603633</v>
      </c>
      <c r="AR9" s="24">
        <f>RANK(AQ9,$AQ$5:$AQ$25,1)</f>
        <v>7</v>
      </c>
      <c r="AS9" s="44">
        <f>VLOOKUP(B9,'[6]查询结果(2025年2月)'!$A$2:$L$29,12,0)/10000</f>
        <v>210.263309</v>
      </c>
      <c r="AT9" s="44">
        <f>VLOOKUP(B9,'[7]查询结果(2026年2月)'!$A$2:$H$25,8,0)/10000</f>
        <v>1943.241998</v>
      </c>
      <c r="AU9" s="45">
        <f t="shared" si="19"/>
        <v>0.202567116425222</v>
      </c>
      <c r="AV9" s="46">
        <f>RANK(AU9,$AU$5:$AU$25,1)</f>
        <v>13</v>
      </c>
      <c r="AW9" s="51">
        <f t="shared" si="20"/>
        <v>8.24194528870465</v>
      </c>
      <c r="AX9" s="52">
        <f>RANK(AW9,$AW$5:$AW$25,1)</f>
        <v>21</v>
      </c>
      <c r="AY9" s="22">
        <f>VLOOKUP(B9,[4]计算结果表!$B$1:$T$25,17,0)</f>
        <v>10845.588634</v>
      </c>
      <c r="AZ9" s="22">
        <f>VLOOKUP(B9,[2]计算结果表!$B$1:$T$25,17,0)</f>
        <v>10805.972661</v>
      </c>
      <c r="BA9" s="23">
        <f t="shared" si="21"/>
        <v>-0.0036527268677522</v>
      </c>
      <c r="BB9" s="23">
        <f t="shared" si="22"/>
        <v>0.0769250956666249</v>
      </c>
      <c r="BC9" s="23">
        <f t="shared" si="23"/>
        <v>0.0752661673047846</v>
      </c>
      <c r="BD9" s="24">
        <f>RANK(BC9,$BC$5:$BC$25,0)</f>
        <v>7</v>
      </c>
      <c r="BE9" s="23">
        <f t="shared" si="24"/>
        <v>-0.00165892836184027</v>
      </c>
      <c r="BF9" s="55">
        <f>VLOOKUP(B9,[4]计算结果表!$B$1:$T$25,9,0)</f>
        <v>188.915981</v>
      </c>
      <c r="BG9" s="56">
        <f>VLOOKUP(B9,[2]计算结果表!$B$1:$T$25,9,0)</f>
        <v>635.997201</v>
      </c>
      <c r="BH9" s="57">
        <f t="shared" si="25"/>
        <v>2.36656114338998</v>
      </c>
      <c r="BI9" s="57">
        <f t="shared" si="26"/>
        <v>0.0201218345549448</v>
      </c>
      <c r="BJ9" s="57">
        <f t="shared" si="27"/>
        <v>0.0404324321714314</v>
      </c>
      <c r="BK9" s="58">
        <f>RANK(BJ9,$BJ$5:$BJ$25,1)</f>
        <v>10</v>
      </c>
      <c r="BL9" s="59">
        <f>VLOOKUP(B9,[8]市州营业收现率202502完成!$B$1:$AH$28,6,0)</f>
        <v>16824.856886</v>
      </c>
      <c r="BM9" s="59">
        <f>VLOOKUP(B9,[9]市州营业收现率2月完成!$B$1:$AI$28,7,0)</f>
        <v>16426.600029</v>
      </c>
      <c r="BN9" s="23">
        <f>VLOOKUP(B9,[8]市州营业收现率202502完成!$B$1:$AH$28,5,0)</f>
        <v>0.701056757690669</v>
      </c>
      <c r="BO9" s="23">
        <f>VLOOKUP(B9,[9]市州营业收现率2月完成!$B$1:$AI$28,5,0)</f>
        <v>0.755964436796519</v>
      </c>
      <c r="BP9" s="58">
        <f>RANK(BO9,$BO$5:$BO$25,0)</f>
        <v>18</v>
      </c>
    </row>
    <row r="10" s="1" customFormat="1" ht="15" customHeight="1" spans="1:68">
      <c r="A10" s="10">
        <v>6</v>
      </c>
      <c r="B10" s="10" t="s">
        <v>70</v>
      </c>
      <c r="C10" s="11">
        <v>140557.378816239</v>
      </c>
      <c r="D10" s="11">
        <v>15542.302543239</v>
      </c>
      <c r="E10" s="12">
        <v>143827.876373017</v>
      </c>
      <c r="F10" s="12">
        <v>17370.9633730166</v>
      </c>
      <c r="G10" s="13">
        <f t="shared" si="0"/>
        <v>0.0232680602350572</v>
      </c>
      <c r="H10" s="13">
        <f t="shared" si="1"/>
        <v>0.117657008972141</v>
      </c>
      <c r="I10" s="22">
        <f>VLOOKUP(B10,[4]计算结果表!$B$1:$AA$25,13,0)</f>
        <v>6946.304308</v>
      </c>
      <c r="J10" s="22">
        <f>VLOOKUP(B10,[2]计算结果表!$B$1:$AA$25,13,0)</f>
        <v>14258.01837</v>
      </c>
      <c r="K10" s="23">
        <f t="shared" si="2"/>
        <v>1.0526049159089</v>
      </c>
      <c r="L10" s="23">
        <f t="shared" si="3"/>
        <v>0.0494197057920482</v>
      </c>
      <c r="M10" s="23">
        <f t="shared" si="4"/>
        <v>0.0991325098412904</v>
      </c>
      <c r="N10" s="24">
        <f>RANK(M10,$M$5:$M$25,1)</f>
        <v>9</v>
      </c>
      <c r="O10" s="23">
        <f t="shared" si="5"/>
        <v>0.0497128040492422</v>
      </c>
      <c r="P10" s="22">
        <f>VLOOKUP(B10,[4]计算结果表!$B$1:$AA$25,15,0)</f>
        <v>3982.856101</v>
      </c>
      <c r="Q10" s="22">
        <f>VLOOKUP(B10,[2]计算结果表!$B$1:$AA$25,15,0)</f>
        <v>8980.274032</v>
      </c>
      <c r="R10" s="23">
        <f t="shared" si="6"/>
        <v>1.25473223342045</v>
      </c>
      <c r="S10" s="23">
        <f t="shared" si="7"/>
        <v>0.256259076795064</v>
      </c>
      <c r="T10" s="23">
        <f t="shared" si="8"/>
        <v>0.51697040855832</v>
      </c>
      <c r="U10" s="24">
        <f>RANK(T10,$T$5:$T$25,1)</f>
        <v>14</v>
      </c>
      <c r="V10" s="23">
        <f t="shared" si="9"/>
        <v>0.260711331763256</v>
      </c>
      <c r="W10" s="28">
        <f>VLOOKUP(B10,[2]计算结果表!$B$1:$T$25,18,0)</f>
        <v>1655.615911</v>
      </c>
      <c r="X10" s="28">
        <f>VLOOKUP(B10,[2]计算结果表!$B$1:$T$25,19,0)</f>
        <v>7324.658121</v>
      </c>
      <c r="Y10" s="36">
        <f>VLOOKUP(B10,[1]分ICT资源型数据!$B$1:$P$23,11,0)</f>
        <v>14290.47638</v>
      </c>
      <c r="Z10" s="36">
        <f>VLOOKUP(B10,[1]分ICT资源型数据!$B$1:$P$23,12,0)</f>
        <v>10162.644729</v>
      </c>
      <c r="AA10" s="23">
        <f t="shared" si="10"/>
        <v>0.106199952895949</v>
      </c>
      <c r="AB10" s="24">
        <f>RANK(AA10,$AA$5:$AA$25,1)</f>
        <v>2</v>
      </c>
      <c r="AC10" s="23">
        <f t="shared" si="11"/>
        <v>0.660681360344148</v>
      </c>
      <c r="AD10" s="24">
        <f>RANK(AC10,$AC$5:$AC$25,1)</f>
        <v>11</v>
      </c>
      <c r="AE10" s="37">
        <f>VLOOKUP(B10,[4]计算结果表!$B$1:$T$25,16,0)</f>
        <v>2963.448207</v>
      </c>
      <c r="AF10" s="37">
        <f>VLOOKUP(B10,[2]计算结果表!$B$1:$T$25,16,0)</f>
        <v>5277.744338</v>
      </c>
      <c r="AG10" s="13">
        <f t="shared" si="12"/>
        <v>0.780947048621728</v>
      </c>
      <c r="AH10" s="13">
        <f t="shared" si="13"/>
        <v>0.0237047266245601</v>
      </c>
      <c r="AI10" s="13">
        <f t="shared" si="14"/>
        <v>0.0417355145938125</v>
      </c>
      <c r="AJ10" s="24">
        <f>RANK(AI10,$AI$5:$AI$25,1)</f>
        <v>14</v>
      </c>
      <c r="AK10" s="13">
        <f t="shared" si="15"/>
        <v>0.0180307879692524</v>
      </c>
      <c r="AL10" s="22">
        <f>VLOOKUP(B10,'[5]查询结果(2025年2月)'!$A$2:$L$29,12,0)/10000</f>
        <v>635.966021</v>
      </c>
      <c r="AM10" s="22">
        <f>VLOOKUP(B10,'[3]查询结果(2026年2月)'!$A$2:$L$29,12,0)/10000</f>
        <v>2048.848598</v>
      </c>
      <c r="AN10" s="23">
        <f t="shared" si="16"/>
        <v>2.22163217899341</v>
      </c>
      <c r="AO10" s="24">
        <f>RANK(AN10,$AN$5:$AN$25,1)</f>
        <v>19</v>
      </c>
      <c r="AP10" s="23">
        <f t="shared" si="17"/>
        <v>0.0915545868423247</v>
      </c>
      <c r="AQ10" s="23">
        <f t="shared" si="18"/>
        <v>0.143697991181646</v>
      </c>
      <c r="AR10" s="24">
        <f>RANK(AQ10,$AQ$5:$AQ$25,1)</f>
        <v>5</v>
      </c>
      <c r="AS10" s="44">
        <f>VLOOKUP(B10,'[6]查询结果(2025年2月)'!$A$2:$L$29,12,0)/10000</f>
        <v>237.895111</v>
      </c>
      <c r="AT10" s="44">
        <f>VLOOKUP(B10,'[7]查询结果(2026年2月)'!$A$2:$H$25,8,0)/10000</f>
        <v>1572.302339</v>
      </c>
      <c r="AU10" s="45">
        <f t="shared" si="19"/>
        <v>0.175084004496668</v>
      </c>
      <c r="AV10" s="46">
        <f>RANK(AU10,$AU$5:$AU$25,1)</f>
        <v>10</v>
      </c>
      <c r="AW10" s="51">
        <f t="shared" si="20"/>
        <v>5.60922510088911</v>
      </c>
      <c r="AX10" s="52">
        <f>RANK(AW10,$AW$5:$AW$25,1)</f>
        <v>20</v>
      </c>
      <c r="AY10" s="22">
        <f>VLOOKUP(B10,[4]计算结果表!$B$1:$T$25,17,0)</f>
        <v>7330.270083</v>
      </c>
      <c r="AZ10" s="22">
        <f>VLOOKUP(B10,[2]计算结果表!$B$1:$T$25,17,0)</f>
        <v>7029.475315</v>
      </c>
      <c r="BA10" s="23">
        <f t="shared" si="21"/>
        <v>-0.0410346091745772</v>
      </c>
      <c r="BB10" s="23">
        <f t="shared" si="22"/>
        <v>0.0521514426687154</v>
      </c>
      <c r="BC10" s="23">
        <f t="shared" si="23"/>
        <v>0.0488742202990544</v>
      </c>
      <c r="BD10" s="24">
        <f>RANK(BC10,$BC$5:$BC$25,0)</f>
        <v>20</v>
      </c>
      <c r="BE10" s="23">
        <f t="shared" si="24"/>
        <v>-0.00327722236966096</v>
      </c>
      <c r="BF10" s="55">
        <f>VLOOKUP(B10,[4]计算结果表!$B$1:$T$25,9,0)</f>
        <v>-157.976473</v>
      </c>
      <c r="BG10" s="56">
        <f>VLOOKUP(B10,[2]计算结果表!$B$1:$T$25,9,0)</f>
        <v>1072.294025</v>
      </c>
      <c r="BH10" s="57">
        <f t="shared" si="25"/>
        <v>-7.78768176448654</v>
      </c>
      <c r="BI10" s="57">
        <f t="shared" si="26"/>
        <v>-0.0227425212019663</v>
      </c>
      <c r="BJ10" s="57">
        <f t="shared" si="27"/>
        <v>0.0752063854298429</v>
      </c>
      <c r="BK10" s="58">
        <f>RANK(BJ10,$BJ$5:$BJ$25,1)</f>
        <v>19</v>
      </c>
      <c r="BL10" s="59">
        <f>VLOOKUP(B10,[8]市州营业收现率202502完成!$B$1:$AH$28,6,0)</f>
        <v>23393.046084</v>
      </c>
      <c r="BM10" s="59">
        <f>VLOOKUP(B10,[9]市州营业收现率2月完成!$B$1:$AI$28,7,0)</f>
        <v>24069.072693</v>
      </c>
      <c r="BN10" s="23">
        <f>VLOOKUP(B10,[8]市州营业收现率202502完成!$B$1:$AH$28,5,0)</f>
        <v>0.96384241473861</v>
      </c>
      <c r="BO10" s="23">
        <f>VLOOKUP(B10,[9]市州营业收现率2月完成!$B$1:$AI$28,5,0)</f>
        <v>0.998576424596298</v>
      </c>
      <c r="BP10" s="58">
        <f>RANK(BO10,$BO$5:$BO$25,0)</f>
        <v>7</v>
      </c>
    </row>
    <row r="11" s="1" customFormat="1" ht="15" customHeight="1" spans="1:68">
      <c r="A11" s="10">
        <v>7</v>
      </c>
      <c r="B11" s="10" t="s">
        <v>71</v>
      </c>
      <c r="C11" s="11">
        <v>120354.808731422</v>
      </c>
      <c r="D11" s="11">
        <v>12304.329956422</v>
      </c>
      <c r="E11" s="12">
        <v>122765.279060519</v>
      </c>
      <c r="F11" s="12">
        <v>14143.315060519</v>
      </c>
      <c r="G11" s="13">
        <f t="shared" si="0"/>
        <v>0.0200280350615327</v>
      </c>
      <c r="H11" s="13">
        <f t="shared" si="1"/>
        <v>0.149458370395633</v>
      </c>
      <c r="I11" s="22">
        <f>VLOOKUP(B11,[4]计算结果表!$B$1:$AA$25,13,0)</f>
        <v>10016.414965</v>
      </c>
      <c r="J11" s="22">
        <f>VLOOKUP(B11,[2]计算结果表!$B$1:$AA$25,13,0)</f>
        <v>12842.697555</v>
      </c>
      <c r="K11" s="23">
        <f t="shared" si="2"/>
        <v>0.282165085998911</v>
      </c>
      <c r="L11" s="23">
        <f t="shared" si="3"/>
        <v>0.0832240528698122</v>
      </c>
      <c r="M11" s="23">
        <f t="shared" si="4"/>
        <v>0.104611805986846</v>
      </c>
      <c r="N11" s="24">
        <f>RANK(M11,$M$5:$M$25,1)</f>
        <v>11</v>
      </c>
      <c r="O11" s="23">
        <f t="shared" si="5"/>
        <v>0.0213877531170336</v>
      </c>
      <c r="P11" s="22">
        <f>VLOOKUP(B11,[4]计算结果表!$B$1:$AA$25,15,0)</f>
        <v>5015.904577</v>
      </c>
      <c r="Q11" s="22">
        <f>VLOOKUP(B11,[2]计算结果表!$B$1:$AA$25,15,0)</f>
        <v>6984.480756</v>
      </c>
      <c r="R11" s="23">
        <f t="shared" si="6"/>
        <v>0.39246683201007</v>
      </c>
      <c r="S11" s="23">
        <f t="shared" si="7"/>
        <v>0.407653614196363</v>
      </c>
      <c r="T11" s="23">
        <f t="shared" si="8"/>
        <v>0.493836185230515</v>
      </c>
      <c r="U11" s="24">
        <f>RANK(T11,$T$5:$T$25,1)</f>
        <v>11</v>
      </c>
      <c r="V11" s="23">
        <f t="shared" si="9"/>
        <v>0.0861825710341529</v>
      </c>
      <c r="W11" s="28">
        <f>VLOOKUP(B11,[2]计算结果表!$B$1:$T$25,18,0)</f>
        <v>1509.37037</v>
      </c>
      <c r="X11" s="28">
        <f>VLOOKUP(B11,[2]计算结果表!$B$1:$T$25,19,0)</f>
        <v>5475.110386</v>
      </c>
      <c r="Y11" s="36">
        <f>VLOOKUP(B11,[1]分ICT资源型数据!$B$1:$P$23,11,0)</f>
        <v>5255.201062</v>
      </c>
      <c r="Z11" s="36">
        <f>VLOOKUP(B11,[1]分ICT资源型数据!$B$1:$P$23,12,0)</f>
        <v>6252.907641</v>
      </c>
      <c r="AA11" s="23">
        <f t="shared" si="10"/>
        <v>0.263280032392666</v>
      </c>
      <c r="AB11" s="24">
        <f>RANK(AA11,$AA$5:$AA$25,1)</f>
        <v>13</v>
      </c>
      <c r="AC11" s="23">
        <f t="shared" si="11"/>
        <v>0.802642782416665</v>
      </c>
      <c r="AD11" s="24">
        <f>RANK(AC11,$AC$5:$AC$25,1)</f>
        <v>17</v>
      </c>
      <c r="AE11" s="37">
        <f>VLOOKUP(B11,[4]计算结果表!$B$1:$T$25,16,0)</f>
        <v>5000.510388</v>
      </c>
      <c r="AF11" s="37">
        <f>VLOOKUP(B11,[2]计算结果表!$B$1:$T$25,16,0)</f>
        <v>5858.216799</v>
      </c>
      <c r="AG11" s="13">
        <f t="shared" si="12"/>
        <v>0.171523773464862</v>
      </c>
      <c r="AH11" s="13">
        <f t="shared" si="13"/>
        <v>0.0462793913057328</v>
      </c>
      <c r="AI11" s="13">
        <f t="shared" si="14"/>
        <v>0.0539321568426069</v>
      </c>
      <c r="AJ11" s="24">
        <f>RANK(AI11,$AI$5:$AI$25,1)</f>
        <v>19</v>
      </c>
      <c r="AK11" s="13">
        <f t="shared" si="15"/>
        <v>0.00765276553687411</v>
      </c>
      <c r="AL11" s="22">
        <f>VLOOKUP(B11,'[5]查询结果(2025年2月)'!$A$2:$L$29,12,0)/10000</f>
        <v>1791.299869</v>
      </c>
      <c r="AM11" s="22">
        <f>VLOOKUP(B11,'[3]查询结果(2026年2月)'!$A$2:$L$29,12,0)/10000</f>
        <v>5251.864414</v>
      </c>
      <c r="AN11" s="23">
        <f t="shared" si="16"/>
        <v>1.9318733869678</v>
      </c>
      <c r="AO11" s="24">
        <f>RANK(AN11,$AN$5:$AN$25,1)</f>
        <v>18</v>
      </c>
      <c r="AP11" s="23">
        <f t="shared" si="17"/>
        <v>0.178836427530137</v>
      </c>
      <c r="AQ11" s="23">
        <f t="shared" si="18"/>
        <v>0.408937794533307</v>
      </c>
      <c r="AR11" s="24">
        <f>RANK(AQ11,$AQ$5:$AQ$25,1)</f>
        <v>21</v>
      </c>
      <c r="AS11" s="44">
        <f>VLOOKUP(B11,'[6]查询结果(2025年2月)'!$A$2:$L$29,12,0)/10000</f>
        <v>1080.549172</v>
      </c>
      <c r="AT11" s="44">
        <f>VLOOKUP(B11,'[7]查询结果(2026年2月)'!$A$2:$H$25,8,0)/10000</f>
        <v>3721.602806</v>
      </c>
      <c r="AU11" s="45">
        <f t="shared" si="19"/>
        <v>0.532838866053567</v>
      </c>
      <c r="AV11" s="46">
        <f>RANK(AU11,$AU$5:$AU$25,1)</f>
        <v>21</v>
      </c>
      <c r="AW11" s="51">
        <f t="shared" si="20"/>
        <v>2.44417718548768</v>
      </c>
      <c r="AX11" s="52">
        <f>RANK(AW11,$AW$5:$AW$25,1)</f>
        <v>15</v>
      </c>
      <c r="AY11" s="22">
        <f>VLOOKUP(B11,[4]计算结果表!$B$1:$T$25,17,0)</f>
        <v>6801.357661</v>
      </c>
      <c r="AZ11" s="22">
        <f>VLOOKUP(B11,[2]计算结果表!$B$1:$T$25,17,0)</f>
        <v>8463.830615</v>
      </c>
      <c r="BA11" s="23">
        <f t="shared" si="21"/>
        <v>0.244432514339434</v>
      </c>
      <c r="BB11" s="23">
        <f t="shared" si="22"/>
        <v>0.0565108925242662</v>
      </c>
      <c r="BC11" s="23">
        <f t="shared" si="23"/>
        <v>0.0689431953380534</v>
      </c>
      <c r="BD11" s="24">
        <f>RANK(BC11,$BC$5:$BC$25,0)</f>
        <v>10</v>
      </c>
      <c r="BE11" s="23">
        <f t="shared" si="24"/>
        <v>0.0124323028137873</v>
      </c>
      <c r="BF11" s="55">
        <f>VLOOKUP(B11,[4]计算结果表!$B$1:$T$25,9,0)</f>
        <v>-176.715904</v>
      </c>
      <c r="BG11" s="56">
        <f>VLOOKUP(B11,[2]计算结果表!$B$1:$T$25,9,0)</f>
        <v>-84.419841</v>
      </c>
      <c r="BH11" s="57">
        <f t="shared" si="25"/>
        <v>-0.522284983472682</v>
      </c>
      <c r="BI11" s="57">
        <f t="shared" si="26"/>
        <v>-0.0176426300844656</v>
      </c>
      <c r="BJ11" s="57">
        <f t="shared" si="27"/>
        <v>-0.00657337297234202</v>
      </c>
      <c r="BK11" s="58">
        <f>RANK(BJ11,$BJ$5:$BJ$25,1)</f>
        <v>2</v>
      </c>
      <c r="BL11" s="59">
        <f>VLOOKUP(B11,[8]市州营业收现率202502完成!$B$1:$AH$28,6,0)</f>
        <v>19778.61511</v>
      </c>
      <c r="BM11" s="59">
        <f>VLOOKUP(B11,[9]市州营业收现率2月完成!$B$1:$AI$28,7,0)</f>
        <v>21257.249567</v>
      </c>
      <c r="BN11" s="23">
        <f>VLOOKUP(B11,[8]市州营业收现率202502完成!$B$1:$AH$28,5,0)</f>
        <v>0.938332097651459</v>
      </c>
      <c r="BO11" s="23">
        <f>VLOOKUP(B11,[9]市州营业收现率2月完成!$B$1:$AI$28,5,0)</f>
        <v>1.08669577950616</v>
      </c>
      <c r="BP11" s="58">
        <f>RANK(BO11,$BO$5:$BO$25,0)</f>
        <v>1</v>
      </c>
    </row>
    <row r="12" s="1" customFormat="1" ht="15" customHeight="1" spans="1:68">
      <c r="A12" s="10">
        <v>8</v>
      </c>
      <c r="B12" s="10" t="s">
        <v>72</v>
      </c>
      <c r="C12" s="11">
        <v>120556.022918018</v>
      </c>
      <c r="D12" s="11">
        <v>16066.6248020181</v>
      </c>
      <c r="E12" s="12">
        <v>122400.418012181</v>
      </c>
      <c r="F12" s="12">
        <v>18070.4180121814</v>
      </c>
      <c r="G12" s="13">
        <f t="shared" si="0"/>
        <v>0.0152990705028255</v>
      </c>
      <c r="H12" s="13">
        <f t="shared" si="1"/>
        <v>0.124717744694679</v>
      </c>
      <c r="I12" s="22">
        <f>VLOOKUP(B12,[4]计算结果表!$B$1:$AA$25,13,0)</f>
        <v>12485.6084</v>
      </c>
      <c r="J12" s="22">
        <f>VLOOKUP(B12,[2]计算结果表!$B$1:$AA$25,13,0)</f>
        <v>14479.409168</v>
      </c>
      <c r="K12" s="23">
        <f t="shared" si="2"/>
        <v>0.159687914607349</v>
      </c>
      <c r="L12" s="23">
        <f t="shared" si="3"/>
        <v>0.103566857115804</v>
      </c>
      <c r="M12" s="23">
        <f t="shared" si="4"/>
        <v>0.118295422541441</v>
      </c>
      <c r="N12" s="24">
        <f>RANK(M12,$M$5:$M$25,1)</f>
        <v>17</v>
      </c>
      <c r="O12" s="23">
        <f t="shared" si="5"/>
        <v>0.0147285654256371</v>
      </c>
      <c r="P12" s="22">
        <f>VLOOKUP(B12,[4]计算结果表!$B$1:$AA$25,15,0)</f>
        <v>9145.535593</v>
      </c>
      <c r="Q12" s="22">
        <f>VLOOKUP(B12,[2]计算结果表!$B$1:$AA$25,15,0)</f>
        <v>10884.226935</v>
      </c>
      <c r="R12" s="23">
        <f t="shared" si="6"/>
        <v>0.190113670688767</v>
      </c>
      <c r="S12" s="23">
        <f t="shared" si="7"/>
        <v>0.569225690255196</v>
      </c>
      <c r="T12" s="23">
        <f t="shared" si="8"/>
        <v>0.60232291957291</v>
      </c>
      <c r="U12" s="24">
        <f>RANK(T12,$T$5:$T$25,1)</f>
        <v>18</v>
      </c>
      <c r="V12" s="23">
        <f t="shared" si="9"/>
        <v>0.0330972293177142</v>
      </c>
      <c r="W12" s="28">
        <f>VLOOKUP(B12,[2]计算结果表!$B$1:$T$25,18,0)</f>
        <v>1542.44682</v>
      </c>
      <c r="X12" s="28">
        <f>VLOOKUP(B12,[2]计算结果表!$B$1:$T$25,19,0)</f>
        <v>9341.780115</v>
      </c>
      <c r="Y12" s="36">
        <f>VLOOKUP(B12,[1]分ICT资源型数据!$B$1:$P$23,11,0)</f>
        <v>5076.341213</v>
      </c>
      <c r="Z12" s="36">
        <f>VLOOKUP(B12,[1]分ICT资源型数据!$B$1:$P$23,12,0)</f>
        <v>9917.685995</v>
      </c>
      <c r="AA12" s="23">
        <f t="shared" si="10"/>
        <v>0.278529264616634</v>
      </c>
      <c r="AB12" s="24">
        <f>RANK(AA12,$AA$5:$AA$25,1)</f>
        <v>15</v>
      </c>
      <c r="AC12" s="23">
        <f t="shared" si="11"/>
        <v>0.863437140787396</v>
      </c>
      <c r="AD12" s="24">
        <f>RANK(AC12,$AC$5:$AC$25,1)</f>
        <v>18</v>
      </c>
      <c r="AE12" s="37">
        <f>VLOOKUP(B12,[4]计算结果表!$B$1:$T$25,16,0)</f>
        <v>3340.072807</v>
      </c>
      <c r="AF12" s="37">
        <f>VLOOKUP(B12,[2]计算结果表!$B$1:$T$25,16,0)</f>
        <v>3595.182233</v>
      </c>
      <c r="AG12" s="13">
        <f t="shared" si="12"/>
        <v>0.07637840272983</v>
      </c>
      <c r="AH12" s="13">
        <f t="shared" si="13"/>
        <v>0.0319656622319901</v>
      </c>
      <c r="AI12" s="13">
        <f t="shared" si="14"/>
        <v>0.0344597166011695</v>
      </c>
      <c r="AJ12" s="24">
        <f>RANK(AI12,$AI$5:$AI$25,1)</f>
        <v>7</v>
      </c>
      <c r="AK12" s="13">
        <f t="shared" si="15"/>
        <v>0.00249405436917936</v>
      </c>
      <c r="AL12" s="22">
        <f>VLOOKUP(B12,'[5]查询结果(2025年2月)'!$A$2:$L$29,12,0)/10000</f>
        <v>1795.875573</v>
      </c>
      <c r="AM12" s="22">
        <f>VLOOKUP(B12,'[3]查询结果(2026年2月)'!$A$2:$L$29,12,0)/10000</f>
        <v>3495.290414</v>
      </c>
      <c r="AN12" s="23">
        <f t="shared" si="16"/>
        <v>0.946287630696562</v>
      </c>
      <c r="AO12" s="24">
        <f>RANK(AN12,$AN$5:$AN$25,1)</f>
        <v>9</v>
      </c>
      <c r="AP12" s="23">
        <f t="shared" si="17"/>
        <v>0.143835647848766</v>
      </c>
      <c r="AQ12" s="23">
        <f t="shared" si="18"/>
        <v>0.24139730934082</v>
      </c>
      <c r="AR12" s="24">
        <f>RANK(AQ12,$AQ$5:$AQ$25,1)</f>
        <v>16</v>
      </c>
      <c r="AS12" s="44">
        <f>VLOOKUP(B12,'[6]查询结果(2025年2月)'!$A$2:$L$29,12,0)/10000</f>
        <v>1439.421181</v>
      </c>
      <c r="AT12" s="44">
        <f>VLOOKUP(B12,'[7]查询结果(2026年2月)'!$A$2:$H$25,8,0)/10000</f>
        <v>2951.689606</v>
      </c>
      <c r="AU12" s="45">
        <f t="shared" si="19"/>
        <v>0.271189642004648</v>
      </c>
      <c r="AV12" s="46">
        <f>RANK(AU12,$AU$5:$AU$25,1)</f>
        <v>15</v>
      </c>
      <c r="AW12" s="51">
        <f t="shared" si="20"/>
        <v>1.05060870644504</v>
      </c>
      <c r="AX12" s="52">
        <f>RANK(AW12,$AW$5:$AW$25,1)</f>
        <v>8</v>
      </c>
      <c r="AY12" s="22">
        <f>VLOOKUP(B12,[4]计算结果表!$B$1:$T$25,17,0)</f>
        <v>6949.496829</v>
      </c>
      <c r="AZ12" s="22">
        <f>VLOOKUP(B12,[2]计算结果表!$B$1:$T$25,17,0)</f>
        <v>6880.395749</v>
      </c>
      <c r="BA12" s="23">
        <f t="shared" si="21"/>
        <v>-0.00994332132243636</v>
      </c>
      <c r="BB12" s="23">
        <f t="shared" si="22"/>
        <v>0.0576453723405083</v>
      </c>
      <c r="BC12" s="23">
        <f t="shared" si="23"/>
        <v>0.056212191598196</v>
      </c>
      <c r="BD12" s="24">
        <f>RANK(BC12,$BC$5:$BC$25,0)</f>
        <v>16</v>
      </c>
      <c r="BE12" s="23">
        <f t="shared" si="24"/>
        <v>-0.00143318074231229</v>
      </c>
      <c r="BF12" s="55">
        <f>VLOOKUP(B12,[4]计算结果表!$B$1:$T$25,9,0)</f>
        <v>390.627627</v>
      </c>
      <c r="BG12" s="56">
        <f>VLOOKUP(B12,[2]计算结果表!$B$1:$T$25,9,0)</f>
        <v>644.497037</v>
      </c>
      <c r="BH12" s="57">
        <f t="shared" si="25"/>
        <v>0.649901318935642</v>
      </c>
      <c r="BI12" s="57">
        <f t="shared" si="26"/>
        <v>0.0312862308736193</v>
      </c>
      <c r="BJ12" s="57">
        <f t="shared" si="27"/>
        <v>0.0445112800889943</v>
      </c>
      <c r="BK12" s="58">
        <f>RANK(BJ12,$BJ$5:$BJ$25,1)</f>
        <v>12</v>
      </c>
      <c r="BL12" s="59">
        <f>VLOOKUP(B12,[8]市州营业收现率202502完成!$B$1:$AH$28,6,0)</f>
        <v>18122.265094</v>
      </c>
      <c r="BM12" s="59">
        <f>VLOOKUP(B12,[9]市州营业收现率2月完成!$B$1:$AI$28,7,0)</f>
        <v>19664.989001</v>
      </c>
      <c r="BN12" s="23">
        <f>VLOOKUP(B12,[8]市州营业收现率202502完成!$B$1:$AH$28,5,0)</f>
        <v>0.859527243447216</v>
      </c>
      <c r="BO12" s="23">
        <f>VLOOKUP(B12,[9]市州营业收现率2月完成!$B$1:$AI$28,5,0)</f>
        <v>1.04282819659685</v>
      </c>
      <c r="BP12" s="58">
        <f>RANK(BO12,$BO$5:$BO$25,0)</f>
        <v>2</v>
      </c>
    </row>
    <row r="13" s="1" customFormat="1" ht="15" customHeight="1" spans="1:68">
      <c r="A13" s="10">
        <v>9</v>
      </c>
      <c r="B13" s="10" t="s">
        <v>73</v>
      </c>
      <c r="C13" s="11">
        <v>120948.418683953</v>
      </c>
      <c r="D13" s="11">
        <v>19113.5978109531</v>
      </c>
      <c r="E13" s="12">
        <v>121392.756101869</v>
      </c>
      <c r="F13" s="12">
        <v>21043.9591018691</v>
      </c>
      <c r="G13" s="13">
        <f t="shared" si="0"/>
        <v>0.00367377616632658</v>
      </c>
      <c r="H13" s="13">
        <f t="shared" si="1"/>
        <v>0.100994135693794</v>
      </c>
      <c r="I13" s="22">
        <f>VLOOKUP(B13,[4]计算结果表!$B$1:$AA$25,13,0)</f>
        <v>4685.947668</v>
      </c>
      <c r="J13" s="22">
        <f>VLOOKUP(B13,[2]计算结果表!$B$1:$AA$25,13,0)</f>
        <v>12474.00068</v>
      </c>
      <c r="K13" s="23">
        <f t="shared" si="2"/>
        <v>1.6620017046251</v>
      </c>
      <c r="L13" s="23">
        <f t="shared" si="3"/>
        <v>0.038743356209102</v>
      </c>
      <c r="M13" s="23">
        <f t="shared" si="4"/>
        <v>0.102757372684843</v>
      </c>
      <c r="N13" s="24">
        <f>RANK(M13,$M$5:$M$25,1)</f>
        <v>10</v>
      </c>
      <c r="O13" s="23">
        <f t="shared" si="5"/>
        <v>0.064014016475741</v>
      </c>
      <c r="P13" s="22">
        <f>VLOOKUP(B13,[4]计算结果表!$B$1:$AA$25,15,0)</f>
        <v>2169.381448</v>
      </c>
      <c r="Q13" s="22">
        <f>VLOOKUP(B13,[2]计算结果表!$B$1:$AA$25,15,0)</f>
        <v>8494.694868</v>
      </c>
      <c r="R13" s="23">
        <f t="shared" si="6"/>
        <v>2.91572209480792</v>
      </c>
      <c r="S13" s="23">
        <f t="shared" si="7"/>
        <v>0.113499377221217</v>
      </c>
      <c r="T13" s="23">
        <f t="shared" si="8"/>
        <v>0.403664292773004</v>
      </c>
      <c r="U13" s="24">
        <f>RANK(T13,$T$5:$T$25,1)</f>
        <v>7</v>
      </c>
      <c r="V13" s="23">
        <f t="shared" si="9"/>
        <v>0.290164915551786</v>
      </c>
      <c r="W13" s="28">
        <f>VLOOKUP(B13,[2]计算结果表!$B$1:$T$25,18,0)</f>
        <v>763.564301</v>
      </c>
      <c r="X13" s="28">
        <f>VLOOKUP(B13,[2]计算结果表!$B$1:$T$25,19,0)</f>
        <v>7731.130567</v>
      </c>
      <c r="Y13" s="36">
        <f>VLOOKUP(B13,[1]分ICT资源型数据!$B$1:$P$23,11,0)</f>
        <v>4509.306308</v>
      </c>
      <c r="Z13" s="36">
        <f>VLOOKUP(B13,[1]分ICT资源型数据!$B$1:$P$23,12,0)</f>
        <v>11160.163434</v>
      </c>
      <c r="AA13" s="23">
        <f t="shared" si="10"/>
        <v>0.155219870812851</v>
      </c>
      <c r="AB13" s="24">
        <f>RANK(AA13,$AA$5:$AA$25,1)</f>
        <v>4</v>
      </c>
      <c r="AC13" s="23">
        <f t="shared" si="11"/>
        <v>0.635014865895795</v>
      </c>
      <c r="AD13" s="24">
        <f>RANK(AC13,$AC$5:$AC$25,1)</f>
        <v>10</v>
      </c>
      <c r="AE13" s="37">
        <f>VLOOKUP(B13,[4]计算结果表!$B$1:$T$25,16,0)</f>
        <v>2516.56622</v>
      </c>
      <c r="AF13" s="37">
        <f>VLOOKUP(B13,[2]计算结果表!$B$1:$T$25,16,0)</f>
        <v>3979.305812</v>
      </c>
      <c r="AG13" s="13">
        <f t="shared" si="12"/>
        <v>0.581244228892177</v>
      </c>
      <c r="AH13" s="13">
        <f t="shared" si="13"/>
        <v>0.0247122369188282</v>
      </c>
      <c r="AI13" s="13">
        <f t="shared" si="14"/>
        <v>0.0396547435640908</v>
      </c>
      <c r="AJ13" s="24">
        <f>RANK(AI13,$AI$5:$AI$25,1)</f>
        <v>12</v>
      </c>
      <c r="AK13" s="13">
        <f t="shared" si="15"/>
        <v>0.0149425066452626</v>
      </c>
      <c r="AL13" s="22">
        <f>VLOOKUP(B13,'[5]查询结果(2025年2月)'!$A$2:$L$29,12,0)/10000</f>
        <v>229.486724</v>
      </c>
      <c r="AM13" s="22">
        <f>VLOOKUP(B13,'[3]查询结果(2026年2月)'!$A$2:$L$29,12,0)/10000</f>
        <v>868.745069</v>
      </c>
      <c r="AN13" s="23">
        <f t="shared" si="16"/>
        <v>2.78560055177745</v>
      </c>
      <c r="AO13" s="24">
        <f>RANK(AN13,$AN$5:$AN$25,1)</f>
        <v>20</v>
      </c>
      <c r="AP13" s="23">
        <f t="shared" si="17"/>
        <v>0.0489733860169093</v>
      </c>
      <c r="AQ13" s="23">
        <f t="shared" si="18"/>
        <v>0.0696444622127438</v>
      </c>
      <c r="AR13" s="24">
        <f>RANK(AQ13,$AQ$5:$AQ$25,1)</f>
        <v>1</v>
      </c>
      <c r="AS13" s="44">
        <f>VLOOKUP(B13,'[6]查询结果(2025年2月)'!$A$2:$L$29,12,0)/10000</f>
        <v>121.256457</v>
      </c>
      <c r="AT13" s="44">
        <f>VLOOKUP(B13,'[7]查询结果(2026年2月)'!$A$2:$H$25,8,0)/10000</f>
        <v>574.545653</v>
      </c>
      <c r="AU13" s="45">
        <f t="shared" si="19"/>
        <v>0.0676358199944704</v>
      </c>
      <c r="AV13" s="46">
        <f>RANK(AU13,$AU$5:$AU$25,1)</f>
        <v>2</v>
      </c>
      <c r="AW13" s="51">
        <f t="shared" si="20"/>
        <v>3.73826851958902</v>
      </c>
      <c r="AX13" s="52">
        <f>RANK(AW13,$AW$5:$AW$25,1)</f>
        <v>19</v>
      </c>
      <c r="AY13" s="22">
        <f>VLOOKUP(B13,[4]计算结果表!$B$1:$T$25,17,0)</f>
        <v>7722.519329</v>
      </c>
      <c r="AZ13" s="22">
        <f>VLOOKUP(B13,[2]计算结果表!$B$1:$T$25,17,0)</f>
        <v>7005.963412</v>
      </c>
      <c r="BA13" s="23">
        <f t="shared" si="21"/>
        <v>-0.0927878437686976</v>
      </c>
      <c r="BB13" s="23">
        <f t="shared" si="22"/>
        <v>0.063849692398042</v>
      </c>
      <c r="BC13" s="23">
        <f t="shared" si="23"/>
        <v>0.0577131917667378</v>
      </c>
      <c r="BD13" s="24">
        <f>RANK(BC13,$BC$5:$BC$25,0)</f>
        <v>15</v>
      </c>
      <c r="BE13" s="23">
        <f t="shared" si="24"/>
        <v>-0.00613650063130421</v>
      </c>
      <c r="BF13" s="55">
        <f>VLOOKUP(B13,[4]计算结果表!$B$1:$T$25,9,0)</f>
        <v>82.655001</v>
      </c>
      <c r="BG13" s="56">
        <f>VLOOKUP(B13,[2]计算结果表!$B$1:$T$25,9,0)</f>
        <v>440.993414</v>
      </c>
      <c r="BH13" s="57">
        <f t="shared" si="25"/>
        <v>4.33535065833464</v>
      </c>
      <c r="BI13" s="57">
        <f t="shared" si="26"/>
        <v>0.0176389082542353</v>
      </c>
      <c r="BJ13" s="57">
        <f t="shared" si="27"/>
        <v>0.0353530054481286</v>
      </c>
      <c r="BK13" s="58">
        <f>RANK(BJ13,$BJ$5:$BJ$25,1)</f>
        <v>8</v>
      </c>
      <c r="BL13" s="59">
        <f>VLOOKUP(B13,[8]市州营业收现率202502完成!$B$1:$AH$28,6,0)</f>
        <v>15886.505208</v>
      </c>
      <c r="BM13" s="59">
        <f>VLOOKUP(B13,[9]市州营业收现率2月完成!$B$1:$AI$28,7,0)</f>
        <v>18495.817399</v>
      </c>
      <c r="BN13" s="23">
        <f>VLOOKUP(B13,[8]市州营业收现率202502完成!$B$1:$AH$28,5,0)</f>
        <v>0.772757052853794</v>
      </c>
      <c r="BO13" s="23">
        <f>VLOOKUP(B13,[9]市州营业收现率2月完成!$B$1:$AI$28,5,0)</f>
        <v>1.01089060470997</v>
      </c>
      <c r="BP13" s="58">
        <f>RANK(BO13,$BO$5:$BO$25,0)</f>
        <v>6</v>
      </c>
    </row>
    <row r="14" s="1" customFormat="1" ht="15" customHeight="1" spans="1:68">
      <c r="A14" s="10">
        <v>10</v>
      </c>
      <c r="B14" s="10" t="s">
        <v>74</v>
      </c>
      <c r="C14" s="11">
        <v>108454.177515746</v>
      </c>
      <c r="D14" s="11">
        <v>14837.5039077463</v>
      </c>
      <c r="E14" s="12">
        <v>112086.049165461</v>
      </c>
      <c r="F14" s="12">
        <v>18088.0491654614</v>
      </c>
      <c r="G14" s="13">
        <f t="shared" si="0"/>
        <v>0.0334876141510334</v>
      </c>
      <c r="H14" s="13">
        <f t="shared" si="1"/>
        <v>0.219076286545614</v>
      </c>
      <c r="I14" s="22">
        <f>VLOOKUP(B14,[4]计算结果表!$B$1:$AA$25,13,0)</f>
        <v>10204.379958</v>
      </c>
      <c r="J14" s="22">
        <f>VLOOKUP(B14,[2]计算结果表!$B$1:$AA$25,13,0)</f>
        <v>13032.556048</v>
      </c>
      <c r="K14" s="23">
        <f t="shared" si="2"/>
        <v>0.277153154002539</v>
      </c>
      <c r="L14" s="23">
        <f t="shared" si="3"/>
        <v>0.0940893213312919</v>
      </c>
      <c r="M14" s="23">
        <f t="shared" si="4"/>
        <v>0.116272775649014</v>
      </c>
      <c r="N14" s="24">
        <f>RANK(M14,$M$5:$M$25,1)</f>
        <v>16</v>
      </c>
      <c r="O14" s="23">
        <f t="shared" si="5"/>
        <v>0.0221834543177221</v>
      </c>
      <c r="P14" s="22">
        <f>VLOOKUP(B14,[4]计算结果表!$B$1:$AA$25,15,0)</f>
        <v>7272.036242</v>
      </c>
      <c r="Q14" s="22">
        <f>VLOOKUP(B14,[2]计算结果表!$B$1:$AA$25,15,0)</f>
        <v>9532.109531</v>
      </c>
      <c r="R14" s="23">
        <f t="shared" si="6"/>
        <v>0.310789607448164</v>
      </c>
      <c r="S14" s="23">
        <f t="shared" si="7"/>
        <v>0.490111833312033</v>
      </c>
      <c r="T14" s="23">
        <f t="shared" si="8"/>
        <v>0.526983835780438</v>
      </c>
      <c r="U14" s="24">
        <f>RANK(T14,$T$5:$T$25,1)</f>
        <v>15</v>
      </c>
      <c r="V14" s="23">
        <f t="shared" si="9"/>
        <v>0.0368720024684046</v>
      </c>
      <c r="W14" s="28">
        <f>VLOOKUP(B14,[2]计算结果表!$B$1:$T$25,18,0)</f>
        <v>2779.502353</v>
      </c>
      <c r="X14" s="28">
        <f>VLOOKUP(B14,[2]计算结果表!$B$1:$T$25,19,0)</f>
        <v>6752.607178</v>
      </c>
      <c r="Y14" s="36">
        <f>VLOOKUP(B14,[1]分ICT资源型数据!$B$1:$P$23,11,0)</f>
        <v>6173.375624</v>
      </c>
      <c r="Z14" s="36">
        <f>VLOOKUP(B14,[1]分ICT资源型数据!$B$1:$P$23,12,0)</f>
        <v>8441.601857</v>
      </c>
      <c r="AA14" s="23">
        <f t="shared" si="10"/>
        <v>0.412720254217382</v>
      </c>
      <c r="AB14" s="24">
        <f>RANK(AA14,$AA$5:$AA$25,1)</f>
        <v>19</v>
      </c>
      <c r="AC14" s="23">
        <f t="shared" si="11"/>
        <v>0.733260110820537</v>
      </c>
      <c r="AD14" s="24">
        <f>RANK(AC14,$AC$5:$AC$25,1)</f>
        <v>15</v>
      </c>
      <c r="AE14" s="37">
        <f>VLOOKUP(B14,[4]计算结果表!$B$1:$T$25,16,0)</f>
        <v>2932.343716</v>
      </c>
      <c r="AF14" s="37">
        <f>VLOOKUP(B14,[2]计算结果表!$B$1:$T$25,16,0)</f>
        <v>3500.446517</v>
      </c>
      <c r="AG14" s="13">
        <f t="shared" si="12"/>
        <v>0.193736770317958</v>
      </c>
      <c r="AH14" s="13">
        <f t="shared" si="13"/>
        <v>0.0313228787457091</v>
      </c>
      <c r="AI14" s="13">
        <f t="shared" si="14"/>
        <v>0.0372395850656399</v>
      </c>
      <c r="AJ14" s="24">
        <f>RANK(AI14,$AI$5:$AI$25,1)</f>
        <v>9</v>
      </c>
      <c r="AK14" s="13">
        <f t="shared" si="15"/>
        <v>0.00591670631993076</v>
      </c>
      <c r="AL14" s="22">
        <f>VLOOKUP(B14,'[5]查询结果(2025年2月)'!$A$2:$L$29,12,0)/10000</f>
        <v>893.659493</v>
      </c>
      <c r="AM14" s="22">
        <f>VLOOKUP(B14,'[3]查询结果(2026年2月)'!$A$2:$L$29,12,0)/10000</f>
        <v>2520.768724</v>
      </c>
      <c r="AN14" s="23">
        <f t="shared" si="16"/>
        <v>1.82072617562403</v>
      </c>
      <c r="AO14" s="24">
        <f>RANK(AN14,$AN$5:$AN$25,1)</f>
        <v>15</v>
      </c>
      <c r="AP14" s="23">
        <f t="shared" si="17"/>
        <v>0.0875760699501778</v>
      </c>
      <c r="AQ14" s="23">
        <f t="shared" si="18"/>
        <v>0.193420900298897</v>
      </c>
      <c r="AR14" s="24">
        <f>RANK(AQ14,$AQ$5:$AQ$25,1)</f>
        <v>12</v>
      </c>
      <c r="AS14" s="44">
        <f>VLOOKUP(B14,'[6]查询结果(2025年2月)'!$A$2:$L$29,12,0)/10000</f>
        <v>638.043806</v>
      </c>
      <c r="AT14" s="44">
        <f>VLOOKUP(B14,'[7]查询结果(2026年2月)'!$A$2:$H$25,8,0)/10000</f>
        <v>1916.348291</v>
      </c>
      <c r="AU14" s="45">
        <f t="shared" si="19"/>
        <v>0.201041362855485</v>
      </c>
      <c r="AV14" s="46">
        <f>RANK(AU14,$AU$5:$AU$25,1)</f>
        <v>12</v>
      </c>
      <c r="AW14" s="51">
        <f t="shared" si="20"/>
        <v>2.00347448400745</v>
      </c>
      <c r="AX14" s="52">
        <f>RANK(AW14,$AW$5:$AW$25,1)</f>
        <v>13</v>
      </c>
      <c r="AY14" s="22">
        <f>VLOOKUP(B14,[4]计算结果表!$B$1:$T$25,17,0)</f>
        <v>8445.110339</v>
      </c>
      <c r="AZ14" s="22">
        <f>VLOOKUP(B14,[2]计算结果表!$B$1:$T$25,17,0)</f>
        <v>8263.215089</v>
      </c>
      <c r="BA14" s="23">
        <f t="shared" si="21"/>
        <v>-0.0215385285328954</v>
      </c>
      <c r="BB14" s="23">
        <f t="shared" si="22"/>
        <v>0.0778680040957748</v>
      </c>
      <c r="BC14" s="23">
        <f t="shared" si="23"/>
        <v>0.0737220657746788</v>
      </c>
      <c r="BD14" s="24">
        <f>RANK(BC14,$BC$5:$BC$25,0)</f>
        <v>8</v>
      </c>
      <c r="BE14" s="23">
        <f t="shared" si="24"/>
        <v>-0.00414593832109601</v>
      </c>
      <c r="BF14" s="55">
        <f>VLOOKUP(B14,[4]计算结果表!$B$1:$T$25,9,0)</f>
        <v>5.03496999999999</v>
      </c>
      <c r="BG14" s="56">
        <f>VLOOKUP(B14,[2]计算结果表!$B$1:$T$25,9,0)</f>
        <v>855.266935</v>
      </c>
      <c r="BH14" s="57">
        <f t="shared" si="25"/>
        <v>168.865348750837</v>
      </c>
      <c r="BI14" s="57">
        <f t="shared" si="26"/>
        <v>0.000493412634645448</v>
      </c>
      <c r="BJ14" s="57">
        <f t="shared" si="27"/>
        <v>0.0656254177499778</v>
      </c>
      <c r="BK14" s="58">
        <f>RANK(BJ14,$BJ$5:$BJ$25,1)</f>
        <v>17</v>
      </c>
      <c r="BL14" s="59">
        <f>VLOOKUP(B14,[8]市州营业收现率202502完成!$B$1:$AH$28,6,0)</f>
        <v>14697.057069</v>
      </c>
      <c r="BM14" s="59">
        <f>VLOOKUP(B14,[9]市州营业收现率2月完成!$B$1:$AI$28,7,0)</f>
        <v>14271.846667</v>
      </c>
      <c r="BN14" s="23">
        <f>VLOOKUP(B14,[8]市州营业收现率202502完成!$B$1:$AH$28,5,0)</f>
        <v>0.782370138468906</v>
      </c>
      <c r="BO14" s="23">
        <f>VLOOKUP(B14,[9]市州营业收现率2月完成!$B$1:$AI$28,5,0)</f>
        <v>0.814109109468514</v>
      </c>
      <c r="BP14" s="58">
        <f>RANK(BO14,$BO$5:$BO$25,0)</f>
        <v>16</v>
      </c>
    </row>
    <row r="15" s="1" customFormat="1" ht="15" customHeight="1" spans="1:68">
      <c r="A15" s="10">
        <v>11</v>
      </c>
      <c r="B15" s="10" t="s">
        <v>75</v>
      </c>
      <c r="C15" s="11">
        <v>87486.8093159926</v>
      </c>
      <c r="D15" s="11">
        <v>8336.97699699262</v>
      </c>
      <c r="E15" s="12">
        <v>88473.8785944045</v>
      </c>
      <c r="F15" s="12">
        <v>9659.87859440452</v>
      </c>
      <c r="G15" s="13">
        <f t="shared" si="0"/>
        <v>0.0112824925966462</v>
      </c>
      <c r="H15" s="13">
        <f t="shared" si="1"/>
        <v>0.158678811023361</v>
      </c>
      <c r="I15" s="22">
        <f>VLOOKUP(B15,[4]计算结果表!$B$1:$AA$25,13,0)</f>
        <v>6492.318716</v>
      </c>
      <c r="J15" s="22">
        <f>VLOOKUP(B15,[2]计算结果表!$B$1:$AA$25,13,0)</f>
        <v>6998.630388</v>
      </c>
      <c r="K15" s="23">
        <f t="shared" si="2"/>
        <v>0.0779862625585863</v>
      </c>
      <c r="L15" s="23">
        <f t="shared" si="3"/>
        <v>0.0742091152570266</v>
      </c>
      <c r="M15" s="23">
        <f t="shared" si="4"/>
        <v>0.0791039174408098</v>
      </c>
      <c r="N15" s="24">
        <f>RANK(M15,$M$5:$M$25,1)</f>
        <v>5</v>
      </c>
      <c r="O15" s="23">
        <f t="shared" si="5"/>
        <v>0.00489480218378321</v>
      </c>
      <c r="P15" s="22">
        <f>VLOOKUP(B15,[4]计算结果表!$B$1:$AA$25,15,0)</f>
        <v>3954.635432</v>
      </c>
      <c r="Q15" s="22">
        <f>VLOOKUP(B15,[2]计算结果表!$B$1:$AA$25,15,0)</f>
        <v>4179.361471</v>
      </c>
      <c r="R15" s="23">
        <f t="shared" si="6"/>
        <v>0.0568259812729055</v>
      </c>
      <c r="S15" s="23">
        <f t="shared" si="7"/>
        <v>0.474348847721008</v>
      </c>
      <c r="T15" s="23">
        <f t="shared" si="8"/>
        <v>0.432651552517533</v>
      </c>
      <c r="U15" s="24">
        <f>RANK(T15,$T$5:$T$25,1)</f>
        <v>9</v>
      </c>
      <c r="V15" s="23">
        <f t="shared" si="9"/>
        <v>-0.0416972952034751</v>
      </c>
      <c r="W15" s="28">
        <f>VLOOKUP(B15,[2]计算结果表!$B$1:$T$25,18,0)</f>
        <v>766.360262</v>
      </c>
      <c r="X15" s="28">
        <f>VLOOKUP(B15,[2]计算结果表!$B$1:$T$25,19,0)</f>
        <v>3413.001209</v>
      </c>
      <c r="Y15" s="36">
        <f>VLOOKUP(B15,[1]分ICT资源型数据!$B$1:$P$23,11,0)</f>
        <v>2930.543429</v>
      </c>
      <c r="Z15" s="36">
        <f>VLOOKUP(B15,[1]分ICT资源型数据!$B$1:$P$23,12,0)</f>
        <v>5194.150831</v>
      </c>
      <c r="AA15" s="23">
        <f t="shared" si="10"/>
        <v>0.239715576258513</v>
      </c>
      <c r="AB15" s="24">
        <f>RANK(AA15,$AA$5:$AA$25,1)</f>
        <v>11</v>
      </c>
      <c r="AC15" s="23">
        <f t="shared" si="11"/>
        <v>0.602328377318416</v>
      </c>
      <c r="AD15" s="24">
        <f>RANK(AC15,$AC$5:$AC$25,1)</f>
        <v>6</v>
      </c>
      <c r="AE15" s="37">
        <f>VLOOKUP(B15,[4]计算结果表!$B$1:$T$25,16,0)</f>
        <v>2537.683284</v>
      </c>
      <c r="AF15" s="37">
        <f>VLOOKUP(B15,[2]计算结果表!$B$1:$T$25,16,0)</f>
        <v>2819.268917</v>
      </c>
      <c r="AG15" s="13">
        <f t="shared" si="12"/>
        <v>0.110961692806737</v>
      </c>
      <c r="AH15" s="13">
        <f t="shared" si="13"/>
        <v>0.0320617644996681</v>
      </c>
      <c r="AI15" s="13">
        <f t="shared" si="14"/>
        <v>0.035771169043571</v>
      </c>
      <c r="AJ15" s="24">
        <f>RANK(AI15,$AI$5:$AI$25,1)</f>
        <v>8</v>
      </c>
      <c r="AK15" s="13">
        <f t="shared" si="15"/>
        <v>0.0037094045439028</v>
      </c>
      <c r="AL15" s="22">
        <f>VLOOKUP(B15,'[5]查询结果(2025年2月)'!$A$2:$L$29,12,0)/10000</f>
        <v>1479.154346</v>
      </c>
      <c r="AM15" s="22">
        <f>VLOOKUP(B15,'[3]查询结果(2026年2月)'!$A$2:$L$29,12,0)/10000</f>
        <v>943.919928</v>
      </c>
      <c r="AN15" s="23">
        <f t="shared" si="16"/>
        <v>-0.361851634650168</v>
      </c>
      <c r="AO15" s="24">
        <f>RANK(AN15,$AN$5:$AN$25,1)</f>
        <v>2</v>
      </c>
      <c r="AP15" s="23">
        <f t="shared" si="17"/>
        <v>0.22783144369587</v>
      </c>
      <c r="AQ15" s="23">
        <f t="shared" si="18"/>
        <v>0.134872092919561</v>
      </c>
      <c r="AR15" s="24">
        <f>RANK(AQ15,$AQ$5:$AQ$25,1)</f>
        <v>4</v>
      </c>
      <c r="AS15" s="44">
        <f>VLOOKUP(B15,'[6]查询结果(2025年2月)'!$A$2:$L$29,12,0)/10000</f>
        <v>1213.288971</v>
      </c>
      <c r="AT15" s="44">
        <f>VLOOKUP(B15,'[7]查询结果(2026年2月)'!$A$2:$H$25,8,0)/10000</f>
        <v>672.281711</v>
      </c>
      <c r="AU15" s="45">
        <f t="shared" si="19"/>
        <v>0.160857517509521</v>
      </c>
      <c r="AV15" s="46">
        <f>RANK(AU15,$AU$5:$AU$25,1)</f>
        <v>7</v>
      </c>
      <c r="AW15" s="51">
        <f t="shared" si="20"/>
        <v>-0.44590140760457</v>
      </c>
      <c r="AX15" s="52">
        <f>RANK(AW15,$AW$5:$AW$25,1)</f>
        <v>1</v>
      </c>
      <c r="AY15" s="22">
        <f>VLOOKUP(B15,[4]计算结果表!$B$1:$T$25,17,0)</f>
        <v>4416.299802</v>
      </c>
      <c r="AZ15" s="22">
        <f>VLOOKUP(B15,[2]计算结果表!$B$1:$T$25,17,0)</f>
        <v>5235.824282</v>
      </c>
      <c r="BA15" s="23">
        <f t="shared" si="21"/>
        <v>0.185568126427663</v>
      </c>
      <c r="BB15" s="23">
        <f t="shared" si="22"/>
        <v>0.0504796075720263</v>
      </c>
      <c r="BC15" s="23">
        <f t="shared" si="23"/>
        <v>0.059179323492789</v>
      </c>
      <c r="BD15" s="24">
        <f>RANK(BC15,$BC$5:$BC$25,0)</f>
        <v>14</v>
      </c>
      <c r="BE15" s="23">
        <f t="shared" si="24"/>
        <v>0.00869971592076266</v>
      </c>
      <c r="BF15" s="55">
        <f>VLOOKUP(B15,[4]计算结果表!$B$1:$T$25,9,0)</f>
        <v>-365.895392</v>
      </c>
      <c r="BG15" s="56">
        <f>VLOOKUP(B15,[2]计算结果表!$B$1:$T$25,9,0)</f>
        <v>274.344385</v>
      </c>
      <c r="BH15" s="57">
        <f t="shared" si="25"/>
        <v>-1.74978912278841</v>
      </c>
      <c r="BI15" s="57">
        <f t="shared" si="26"/>
        <v>-0.0563581992822177</v>
      </c>
      <c r="BJ15" s="57">
        <f t="shared" si="27"/>
        <v>0.0391997247733495</v>
      </c>
      <c r="BK15" s="58">
        <f>RANK(BJ15,$BJ$5:$BJ$25,1)</f>
        <v>9</v>
      </c>
      <c r="BL15" s="59">
        <f>VLOOKUP(B15,[8]市州营业收现率202502完成!$B$1:$AH$28,6,0)</f>
        <v>14579.125703</v>
      </c>
      <c r="BM15" s="59">
        <f>VLOOKUP(B15,[9]市州营业收现率2月完成!$B$1:$AI$28,7,0)</f>
        <v>14815.525658</v>
      </c>
      <c r="BN15" s="23">
        <f>VLOOKUP(B15,[8]市州营业收现率202502完成!$B$1:$AH$28,5,0)</f>
        <v>1.00178094536687</v>
      </c>
      <c r="BO15" s="23">
        <f>VLOOKUP(B15,[9]市州营业收现率2月完成!$B$1:$AI$28,5,0)</f>
        <v>1.03817626092748</v>
      </c>
      <c r="BP15" s="58">
        <f>RANK(BO15,$BO$5:$BO$25,0)</f>
        <v>4</v>
      </c>
    </row>
    <row r="16" s="1" customFormat="1" ht="15" customHeight="1" spans="1:68">
      <c r="A16" s="10">
        <v>12</v>
      </c>
      <c r="B16" s="10" t="s">
        <v>76</v>
      </c>
      <c r="C16" s="11">
        <v>77707.532493087</v>
      </c>
      <c r="D16" s="11">
        <v>7596.70859308697</v>
      </c>
      <c r="E16" s="12">
        <v>78754.2696767902</v>
      </c>
      <c r="F16" s="12">
        <v>8513.2696767902</v>
      </c>
      <c r="G16" s="13">
        <f t="shared" si="0"/>
        <v>0.0134702151788995</v>
      </c>
      <c r="H16" s="13">
        <f t="shared" si="1"/>
        <v>0.120652394714377</v>
      </c>
      <c r="I16" s="22">
        <f>VLOOKUP(B16,[4]计算结果表!$B$1:$AA$25,13,0)</f>
        <v>9706.429366</v>
      </c>
      <c r="J16" s="22">
        <f>VLOOKUP(B16,[2]计算结果表!$B$1:$AA$25,13,0)</f>
        <v>11225.369237</v>
      </c>
      <c r="K16" s="23">
        <f t="shared" si="2"/>
        <v>0.156488015698192</v>
      </c>
      <c r="L16" s="23">
        <f t="shared" si="3"/>
        <v>0.124909761699916</v>
      </c>
      <c r="M16" s="23">
        <f t="shared" si="4"/>
        <v>0.142536643194956</v>
      </c>
      <c r="N16" s="24">
        <f>RANK(M16,$M$5:$M$25,1)</f>
        <v>20</v>
      </c>
      <c r="O16" s="23">
        <f t="shared" si="5"/>
        <v>0.0176268814950399</v>
      </c>
      <c r="P16" s="22">
        <f>VLOOKUP(B16,[4]计算结果表!$B$1:$AA$25,15,0)</f>
        <v>6668.359306</v>
      </c>
      <c r="Q16" s="22">
        <f>VLOOKUP(B16,[2]计算结果表!$B$1:$AA$25,15,0)</f>
        <v>8446.281359</v>
      </c>
      <c r="R16" s="23">
        <f t="shared" si="6"/>
        <v>0.266620614069232</v>
      </c>
      <c r="S16" s="23">
        <f t="shared" si="7"/>
        <v>0.87779585386074</v>
      </c>
      <c r="T16" s="23">
        <f t="shared" si="8"/>
        <v>0.99213130555786</v>
      </c>
      <c r="U16" s="24">
        <f>RANK(T16,$T$5:$T$25,1)</f>
        <v>21</v>
      </c>
      <c r="V16" s="23">
        <f t="shared" si="9"/>
        <v>0.11433545169712</v>
      </c>
      <c r="W16" s="28">
        <f>VLOOKUP(B16,[2]计算结果表!$B$1:$T$25,18,0)</f>
        <v>1115.231069</v>
      </c>
      <c r="X16" s="28">
        <f>VLOOKUP(B16,[2]计算结果表!$B$1:$T$25,19,0)</f>
        <v>7331.05029</v>
      </c>
      <c r="Y16" s="36">
        <f>VLOOKUP(B16,[1]分ICT资源型数据!$B$1:$P$23,11,0)</f>
        <v>2237.238805</v>
      </c>
      <c r="Z16" s="36">
        <f>VLOOKUP(B16,[1]分ICT资源型数据!$B$1:$P$23,12,0)</f>
        <v>6966.172164</v>
      </c>
      <c r="AA16" s="23">
        <f t="shared" si="10"/>
        <v>0.456945027190932</v>
      </c>
      <c r="AB16" s="24">
        <f>RANK(AA16,$AA$5:$AA$25,1)</f>
        <v>21</v>
      </c>
      <c r="AC16" s="23">
        <f t="shared" si="11"/>
        <v>0.964680354474799</v>
      </c>
      <c r="AD16" s="24">
        <f>RANK(AC16,$AC$5:$AC$25,1)</f>
        <v>21</v>
      </c>
      <c r="AE16" s="37">
        <f>VLOOKUP(B16,[4]计算结果表!$B$1:$T$25,16,0)</f>
        <v>3038.07006</v>
      </c>
      <c r="AF16" s="37">
        <f>VLOOKUP(B16,[2]计算结果表!$B$1:$T$25,16,0)</f>
        <v>2779.087878</v>
      </c>
      <c r="AG16" s="13">
        <f t="shared" si="12"/>
        <v>-0.0852456253099049</v>
      </c>
      <c r="AH16" s="13">
        <f t="shared" si="13"/>
        <v>0.0433323970680082</v>
      </c>
      <c r="AI16" s="13">
        <f t="shared" si="14"/>
        <v>0.0395650386241654</v>
      </c>
      <c r="AJ16" s="24">
        <f>RANK(AI16,$AI$5:$AI$25,1)</f>
        <v>11</v>
      </c>
      <c r="AK16" s="13">
        <f t="shared" si="15"/>
        <v>-0.00376735844384282</v>
      </c>
      <c r="AL16" s="22">
        <f>VLOOKUP(B16,'[5]查询结果(2025年2月)'!$A$2:$L$29,12,0)/10000</f>
        <v>1838.885221</v>
      </c>
      <c r="AM16" s="22">
        <f>VLOOKUP(B16,'[3]查询结果(2026年2月)'!$A$2:$L$29,12,0)/10000</f>
        <v>3371.293933</v>
      </c>
      <c r="AN16" s="23">
        <f t="shared" si="16"/>
        <v>0.833335704969484</v>
      </c>
      <c r="AO16" s="24">
        <f>RANK(AN16,$AN$5:$AN$25,1)</f>
        <v>8</v>
      </c>
      <c r="AP16" s="23">
        <f t="shared" si="17"/>
        <v>0.189450224347308</v>
      </c>
      <c r="AQ16" s="23">
        <f t="shared" si="18"/>
        <v>0.300328110534472</v>
      </c>
      <c r="AR16" s="24">
        <f>RANK(AQ16,$AQ$5:$AQ$25,1)</f>
        <v>18</v>
      </c>
      <c r="AS16" s="44">
        <f>VLOOKUP(B16,'[6]查询结果(2025年2月)'!$A$2:$L$29,12,0)/10000</f>
        <v>1075.225004</v>
      </c>
      <c r="AT16" s="44">
        <f>VLOOKUP(B16,'[7]查询结果(2026年2月)'!$A$2:$H$25,8,0)/10000</f>
        <v>2527.311039</v>
      </c>
      <c r="AU16" s="45">
        <f t="shared" si="19"/>
        <v>0.299221744052725</v>
      </c>
      <c r="AV16" s="46">
        <f>RANK(AU16,$AU$5:$AU$25,1)</f>
        <v>18</v>
      </c>
      <c r="AW16" s="51">
        <f t="shared" si="20"/>
        <v>1.35049504019905</v>
      </c>
      <c r="AX16" s="52">
        <f>RANK(AW16,$AW$5:$AW$25,1)</f>
        <v>9</v>
      </c>
      <c r="AY16" s="22">
        <f>VLOOKUP(B16,[4]计算结果表!$B$1:$T$25,17,0)</f>
        <v>6332.823486</v>
      </c>
      <c r="AZ16" s="22">
        <f>VLOOKUP(B16,[2]计算结果表!$B$1:$T$25,17,0)</f>
        <v>6543.781507</v>
      </c>
      <c r="BA16" s="23">
        <f t="shared" si="21"/>
        <v>0.0333118428875154</v>
      </c>
      <c r="BB16" s="23">
        <f t="shared" si="22"/>
        <v>0.0814956193154554</v>
      </c>
      <c r="BC16" s="23">
        <f t="shared" si="23"/>
        <v>0.0830911331392681</v>
      </c>
      <c r="BD16" s="24">
        <f>RANK(BC16,$BC$5:$BC$25,0)</f>
        <v>6</v>
      </c>
      <c r="BE16" s="23">
        <f t="shared" si="24"/>
        <v>0.00159551382381269</v>
      </c>
      <c r="BF16" s="55">
        <f>VLOOKUP(B16,[4]计算结果表!$B$1:$T$25,9,0)</f>
        <v>16.068724</v>
      </c>
      <c r="BG16" s="56">
        <f>VLOOKUP(B16,[2]计算结果表!$B$1:$T$25,9,0)</f>
        <v>229.186241</v>
      </c>
      <c r="BH16" s="57">
        <f t="shared" si="25"/>
        <v>13.2628774381836</v>
      </c>
      <c r="BI16" s="57">
        <f t="shared" si="26"/>
        <v>0.00165547220240288</v>
      </c>
      <c r="BJ16" s="57">
        <f t="shared" si="27"/>
        <v>0.0204168109004894</v>
      </c>
      <c r="BK16" s="58">
        <f>RANK(BJ16,$BJ$5:$BJ$25,1)</f>
        <v>3</v>
      </c>
      <c r="BL16" s="59">
        <f>VLOOKUP(B16,[8]市州营业收现率202502完成!$B$1:$AH$28,6,0)</f>
        <v>13573.774346</v>
      </c>
      <c r="BM16" s="59">
        <f>VLOOKUP(B16,[9]市州营业收现率2月完成!$B$1:$AI$28,7,0)</f>
        <v>12768.340291</v>
      </c>
      <c r="BN16" s="23">
        <f>VLOOKUP(B16,[8]市州营业收现率202502完成!$B$1:$AH$28,5,0)</f>
        <v>0.991833463056697</v>
      </c>
      <c r="BO16" s="23">
        <f>VLOOKUP(B16,[9]市州营业收现率2月完成!$B$1:$AI$28,5,0)</f>
        <v>1.04044831186076</v>
      </c>
      <c r="BP16" s="58">
        <f>RANK(BO16,$BO$5:$BO$25,0)</f>
        <v>3</v>
      </c>
    </row>
    <row r="17" s="1" customFormat="1" ht="15" customHeight="1" spans="1:68">
      <c r="A17" s="10">
        <v>13</v>
      </c>
      <c r="B17" s="10" t="s">
        <v>77</v>
      </c>
      <c r="C17" s="11">
        <v>85384.9795560445</v>
      </c>
      <c r="D17" s="11">
        <v>11191.0494950444</v>
      </c>
      <c r="E17" s="12">
        <v>85367.4503703127</v>
      </c>
      <c r="F17" s="12">
        <v>12066.4503703127</v>
      </c>
      <c r="G17" s="13">
        <f t="shared" si="0"/>
        <v>-0.000205295894230462</v>
      </c>
      <c r="H17" s="13">
        <f t="shared" si="1"/>
        <v>0.0782233047629663</v>
      </c>
      <c r="I17" s="22">
        <f>VLOOKUP(B17,[4]计算结果表!$B$1:$AA$25,13,0)</f>
        <v>5890.05432</v>
      </c>
      <c r="J17" s="22">
        <f>VLOOKUP(B17,[2]计算结果表!$B$1:$AA$25,13,0)</f>
        <v>10176.464799</v>
      </c>
      <c r="K17" s="23">
        <f t="shared" si="2"/>
        <v>0.727737003111373</v>
      </c>
      <c r="L17" s="23">
        <f t="shared" si="3"/>
        <v>0.0689823239476672</v>
      </c>
      <c r="M17" s="23">
        <f t="shared" si="4"/>
        <v>0.119207786514132</v>
      </c>
      <c r="N17" s="24">
        <f>RANK(M17,$M$5:$M$25,1)</f>
        <v>18</v>
      </c>
      <c r="O17" s="23">
        <f t="shared" si="5"/>
        <v>0.0502254625664649</v>
      </c>
      <c r="P17" s="22">
        <f>VLOOKUP(B17,[4]计算结果表!$B$1:$AA$25,15,0)</f>
        <v>3952.442767</v>
      </c>
      <c r="Q17" s="22">
        <f>VLOOKUP(B17,[2]计算结果表!$B$1:$AA$25,15,0)</f>
        <v>7128.410672</v>
      </c>
      <c r="R17" s="23">
        <f t="shared" si="6"/>
        <v>0.803545577311582</v>
      </c>
      <c r="S17" s="23">
        <f t="shared" si="7"/>
        <v>0.353178919345341</v>
      </c>
      <c r="T17" s="23">
        <f t="shared" si="8"/>
        <v>0.590762855125825</v>
      </c>
      <c r="U17" s="24">
        <f>RANK(T17,$T$5:$T$25,1)</f>
        <v>17</v>
      </c>
      <c r="V17" s="23">
        <f t="shared" si="9"/>
        <v>0.237583935780485</v>
      </c>
      <c r="W17" s="28">
        <f>VLOOKUP(B17,[2]计算结果表!$B$1:$T$25,18,0)</f>
        <v>1212.091463</v>
      </c>
      <c r="X17" s="28">
        <f>VLOOKUP(B17,[2]计算结果表!$B$1:$T$25,19,0)</f>
        <v>5916.319209</v>
      </c>
      <c r="Y17" s="36">
        <f>VLOOKUP(B17,[1]分ICT资源型数据!$B$1:$P$23,11,0)</f>
        <v>3714.049762</v>
      </c>
      <c r="Z17" s="36">
        <f>VLOOKUP(B17,[1]分ICT资源型数据!$B$1:$P$23,12,0)</f>
        <v>7157.830452</v>
      </c>
      <c r="AA17" s="23">
        <f t="shared" si="10"/>
        <v>0.29915696134481</v>
      </c>
      <c r="AB17" s="24">
        <f>RANK(AA17,$AA$5:$AA$25,1)</f>
        <v>16</v>
      </c>
      <c r="AC17" s="23">
        <f t="shared" si="11"/>
        <v>0.757672683729838</v>
      </c>
      <c r="AD17" s="24">
        <f>RANK(AC17,$AC$5:$AC$25,1)</f>
        <v>16</v>
      </c>
      <c r="AE17" s="37">
        <f>VLOOKUP(B17,[4]计算结果表!$B$1:$T$25,16,0)</f>
        <v>1937.611553</v>
      </c>
      <c r="AF17" s="37">
        <f>VLOOKUP(B17,[2]计算结果表!$B$1:$T$25,16,0)</f>
        <v>3048.054127</v>
      </c>
      <c r="AG17" s="13">
        <f t="shared" si="12"/>
        <v>0.573098654516538</v>
      </c>
      <c r="AH17" s="13">
        <f t="shared" si="13"/>
        <v>0.0261154996292413</v>
      </c>
      <c r="AI17" s="13">
        <f t="shared" si="14"/>
        <v>0.0415827086533608</v>
      </c>
      <c r="AJ17" s="24">
        <f>RANK(AI17,$AI$5:$AI$25,1)</f>
        <v>13</v>
      </c>
      <c r="AK17" s="13">
        <f t="shared" si="15"/>
        <v>0.0154672090241195</v>
      </c>
      <c r="AL17" s="22">
        <f>VLOOKUP(B17,'[5]查询结果(2025年2月)'!$A$2:$L$29,12,0)/10000</f>
        <v>610.677109</v>
      </c>
      <c r="AM17" s="22">
        <f>VLOOKUP(B17,'[3]查询结果(2026年2月)'!$A$2:$L$29,12,0)/10000</f>
        <v>1250.684538</v>
      </c>
      <c r="AN17" s="23">
        <f t="shared" si="16"/>
        <v>1.04802917870629</v>
      </c>
      <c r="AO17" s="24">
        <f>RANK(AN17,$AN$5:$AN$25,1)</f>
        <v>11</v>
      </c>
      <c r="AP17" s="23">
        <f t="shared" si="17"/>
        <v>0.103679367934929</v>
      </c>
      <c r="AQ17" s="23">
        <f t="shared" si="18"/>
        <v>0.122899706597806</v>
      </c>
      <c r="AR17" s="24">
        <f>RANK(AQ17,$AQ$5:$AQ$25,1)</f>
        <v>3</v>
      </c>
      <c r="AS17" s="44">
        <f>VLOOKUP(B17,'[6]查询结果(2025年2月)'!$A$2:$L$29,12,0)/10000</f>
        <v>339.327054</v>
      </c>
      <c r="AT17" s="44">
        <f>VLOOKUP(B17,'[7]查询结果(2026年2月)'!$A$2:$H$25,8,0)/10000</f>
        <v>989.875978</v>
      </c>
      <c r="AU17" s="45">
        <f t="shared" si="19"/>
        <v>0.138863489148875</v>
      </c>
      <c r="AV17" s="46">
        <f>RANK(AU17,$AU$5:$AU$25,1)</f>
        <v>3</v>
      </c>
      <c r="AW17" s="51">
        <f t="shared" si="20"/>
        <v>1.9171737600386</v>
      </c>
      <c r="AX17" s="52">
        <f>RANK(AW17,$AW$5:$AW$25,1)</f>
        <v>12</v>
      </c>
      <c r="AY17" s="22">
        <f>VLOOKUP(B17,[4]计算结果表!$B$1:$T$25,17,0)</f>
        <v>3421.69337</v>
      </c>
      <c r="AZ17" s="22">
        <f>VLOOKUP(B17,[2]计算结果表!$B$1:$T$25,17,0)</f>
        <v>3982.781481</v>
      </c>
      <c r="BA17" s="23">
        <f t="shared" si="21"/>
        <v>0.163979658703316</v>
      </c>
      <c r="BB17" s="23">
        <f t="shared" si="22"/>
        <v>0.0400737153980823</v>
      </c>
      <c r="BC17" s="23">
        <f t="shared" si="23"/>
        <v>0.0466545675632014</v>
      </c>
      <c r="BD17" s="24">
        <f>RANK(BC17,$BC$5:$BC$25,0)</f>
        <v>21</v>
      </c>
      <c r="BE17" s="23">
        <f t="shared" si="24"/>
        <v>0.00658085216511918</v>
      </c>
      <c r="BF17" s="55">
        <f>VLOOKUP(B17,[4]计算结果表!$B$1:$T$25,9,0)</f>
        <v>254.263623</v>
      </c>
      <c r="BG17" s="56">
        <f>VLOOKUP(B17,[2]计算结果表!$B$1:$T$25,9,0)</f>
        <v>-89.75806</v>
      </c>
      <c r="BH17" s="57">
        <f t="shared" si="25"/>
        <v>-1.35301180302933</v>
      </c>
      <c r="BI17" s="57">
        <f t="shared" si="26"/>
        <v>0.0431682984886292</v>
      </c>
      <c r="BJ17" s="57">
        <f t="shared" si="27"/>
        <v>-0.00882016120262315</v>
      </c>
      <c r="BK17" s="58">
        <f>RANK(BJ17,$BJ$5:$BJ$25,1)</f>
        <v>1</v>
      </c>
      <c r="BL17" s="59">
        <f>VLOOKUP(B17,[8]市州营业收现率202502完成!$B$1:$AH$28,6,0)</f>
        <v>13129.867879</v>
      </c>
      <c r="BM17" s="59">
        <f>VLOOKUP(B17,[9]市州营业收现率2月完成!$B$1:$AI$28,7,0)</f>
        <v>13156.030903</v>
      </c>
      <c r="BN17" s="23">
        <f>VLOOKUP(B17,[8]市州营业收现率202502完成!$B$1:$AH$28,5,0)</f>
        <v>0.885525492442591</v>
      </c>
      <c r="BO17" s="23">
        <f>VLOOKUP(B17,[9]市州营业收现率2月完成!$B$1:$AI$28,5,0)</f>
        <v>0.910156333853062</v>
      </c>
      <c r="BP17" s="58">
        <f>RANK(BO17,$BO$5:$BO$25,0)</f>
        <v>13</v>
      </c>
    </row>
    <row r="18" s="1" customFormat="1" ht="15" spans="1:68">
      <c r="A18" s="10">
        <v>14</v>
      </c>
      <c r="B18" s="10" t="s">
        <v>78</v>
      </c>
      <c r="C18" s="11">
        <v>81589.1345996973</v>
      </c>
      <c r="D18" s="11">
        <v>9567.37989069726</v>
      </c>
      <c r="E18" s="12">
        <v>79471.7157842806</v>
      </c>
      <c r="F18" s="12">
        <v>10683.7157842806</v>
      </c>
      <c r="G18" s="13">
        <f t="shared" si="0"/>
        <v>-0.0259522156449561</v>
      </c>
      <c r="H18" s="13">
        <f t="shared" si="1"/>
        <v>0.116681464135107</v>
      </c>
      <c r="I18" s="22">
        <f>VLOOKUP(B18,[4]计算结果表!$B$1:$AA$25,13,0)</f>
        <v>8525.594175</v>
      </c>
      <c r="J18" s="22">
        <f>VLOOKUP(B18,[2]计算结果表!$B$1:$AA$25,13,0)</f>
        <v>7862.311529</v>
      </c>
      <c r="K18" s="23">
        <f t="shared" si="2"/>
        <v>-0.0777989935229354</v>
      </c>
      <c r="L18" s="23">
        <f t="shared" si="3"/>
        <v>0.104494234640793</v>
      </c>
      <c r="M18" s="23">
        <f t="shared" si="4"/>
        <v>0.0989321980960068</v>
      </c>
      <c r="N18" s="24">
        <f>RANK(M18,$M$5:$M$25,1)</f>
        <v>8</v>
      </c>
      <c r="O18" s="23">
        <f t="shared" si="5"/>
        <v>-0.00556203654478606</v>
      </c>
      <c r="P18" s="22">
        <f>VLOOKUP(B18,[4]计算结果表!$B$1:$AA$25,15,0)</f>
        <v>6385.977549</v>
      </c>
      <c r="Q18" s="22">
        <f>VLOOKUP(B18,[2]计算结果表!$B$1:$AA$25,15,0)</f>
        <v>6808.678153</v>
      </c>
      <c r="R18" s="23">
        <f t="shared" si="6"/>
        <v>0.0661919965669455</v>
      </c>
      <c r="S18" s="23">
        <f t="shared" si="7"/>
        <v>0.667474023395824</v>
      </c>
      <c r="T18" s="23">
        <f t="shared" si="8"/>
        <v>0.63729495341105</v>
      </c>
      <c r="U18" s="24">
        <f>RANK(T18,$T$5:$T$25,1)</f>
        <v>20</v>
      </c>
      <c r="V18" s="23">
        <f t="shared" si="9"/>
        <v>-0.0301790699847745</v>
      </c>
      <c r="W18" s="28">
        <f>VLOOKUP(B18,[2]计算结果表!$B$1:$T$25,18,0)</f>
        <v>310.850722</v>
      </c>
      <c r="X18" s="28">
        <f>VLOOKUP(B18,[2]计算结果表!$B$1:$T$25,19,0)</f>
        <v>6497.827431</v>
      </c>
      <c r="Y18" s="36">
        <f>VLOOKUP(B18,[1]分ICT资源型数据!$B$1:$P$23,11,0)</f>
        <v>4055.276697</v>
      </c>
      <c r="Z18" s="36">
        <f>VLOOKUP(B18,[1]分ICT资源型数据!$B$1:$P$23,12,0)</f>
        <v>8593.334145</v>
      </c>
      <c r="AA18" s="23">
        <f t="shared" si="10"/>
        <v>0.070265611068528</v>
      </c>
      <c r="AB18" s="24">
        <f>RANK(AA18,$AA$5:$AA$25,1)</f>
        <v>1</v>
      </c>
      <c r="AC18" s="23">
        <f t="shared" si="11"/>
        <v>0.693135133726375</v>
      </c>
      <c r="AD18" s="24">
        <f>RANK(AC18,$AC$5:$AC$25,1)</f>
        <v>13</v>
      </c>
      <c r="AE18" s="37">
        <f>VLOOKUP(B18,[4]计算结果表!$B$1:$T$25,16,0)</f>
        <v>2139.616626</v>
      </c>
      <c r="AF18" s="37">
        <f>VLOOKUP(B18,[2]计算结果表!$B$1:$T$25,16,0)</f>
        <v>1053.633376</v>
      </c>
      <c r="AG18" s="13">
        <f t="shared" si="12"/>
        <v>-0.507559736077691</v>
      </c>
      <c r="AH18" s="13">
        <f t="shared" si="13"/>
        <v>0.0297079213724382</v>
      </c>
      <c r="AI18" s="13">
        <f t="shared" si="14"/>
        <v>0.0153171101936384</v>
      </c>
      <c r="AJ18" s="24">
        <f>RANK(AI18,$AI$5:$AI$25,1)</f>
        <v>1</v>
      </c>
      <c r="AK18" s="13">
        <f t="shared" si="15"/>
        <v>-0.0143908111787997</v>
      </c>
      <c r="AL18" s="22">
        <f>VLOOKUP(B18,'[5]查询结果(2025年2月)'!$A$2:$L$29,12,0)/10000</f>
        <v>1770.152161</v>
      </c>
      <c r="AM18" s="22">
        <f>VLOOKUP(B18,'[3]查询结果(2026年2月)'!$A$2:$L$29,12,0)/10000</f>
        <v>1426.884681</v>
      </c>
      <c r="AN18" s="23">
        <f t="shared" si="16"/>
        <v>-0.193919758743271</v>
      </c>
      <c r="AO18" s="24">
        <f>RANK(AN18,$AN$5:$AN$25,1)</f>
        <v>3</v>
      </c>
      <c r="AP18" s="23">
        <f t="shared" si="17"/>
        <v>0.207628010982589</v>
      </c>
      <c r="AQ18" s="23">
        <f t="shared" si="18"/>
        <v>0.181484118981671</v>
      </c>
      <c r="AR18" s="24">
        <f>RANK(AQ18,$AQ$5:$AQ$25,1)</f>
        <v>10</v>
      </c>
      <c r="AS18" s="44">
        <f>VLOOKUP(B18,'[6]查询结果(2025年2月)'!$A$2:$L$29,12,0)/10000</f>
        <v>1552.568328</v>
      </c>
      <c r="AT18" s="44">
        <f>VLOOKUP(B18,'[7]查询结果(2026年2月)'!$A$2:$H$25,8,0)/10000</f>
        <v>1168.812834</v>
      </c>
      <c r="AU18" s="45">
        <f t="shared" si="19"/>
        <v>0.171665161391863</v>
      </c>
      <c r="AV18" s="46">
        <f>RANK(AU18,$AU$5:$AU$25,1)</f>
        <v>9</v>
      </c>
      <c r="AW18" s="51">
        <f t="shared" si="20"/>
        <v>-0.247174624832357</v>
      </c>
      <c r="AX18" s="52">
        <f>RANK(AW18,$AW$5:$AW$25,1)</f>
        <v>3</v>
      </c>
      <c r="AY18" s="22">
        <f>VLOOKUP(B18,[4]计算结果表!$B$1:$T$25,17,0)</f>
        <v>6181.767779</v>
      </c>
      <c r="AZ18" s="22">
        <f>VLOOKUP(B18,[2]计算结果表!$B$1:$T$25,17,0)</f>
        <v>7388.79487</v>
      </c>
      <c r="BA18" s="23">
        <f t="shared" si="21"/>
        <v>0.195255974367134</v>
      </c>
      <c r="BB18" s="23">
        <f t="shared" si="22"/>
        <v>0.0757670467928083</v>
      </c>
      <c r="BC18" s="23">
        <f t="shared" si="23"/>
        <v>0.0929738938826522</v>
      </c>
      <c r="BD18" s="24">
        <f>RANK(BC18,$BC$5:$BC$25,0)</f>
        <v>4</v>
      </c>
      <c r="BE18" s="23">
        <f t="shared" si="24"/>
        <v>0.0172068470898439</v>
      </c>
      <c r="BF18" s="55">
        <f>VLOOKUP(B18,[4]计算结果表!$B$1:$T$25,9,0)</f>
        <v>549.410024</v>
      </c>
      <c r="BG18" s="56">
        <f>VLOOKUP(B18,[2]计算结果表!$B$1:$T$25,9,0)</f>
        <v>236.938444</v>
      </c>
      <c r="BH18" s="57">
        <f t="shared" si="25"/>
        <v>-0.568740223785942</v>
      </c>
      <c r="BI18" s="57">
        <f t="shared" si="26"/>
        <v>0.0644424321311306</v>
      </c>
      <c r="BJ18" s="57">
        <f t="shared" si="27"/>
        <v>0.0301359775844619</v>
      </c>
      <c r="BK18" s="58">
        <f>RANK(BJ18,$BJ$5:$BJ$25,1)</f>
        <v>5</v>
      </c>
      <c r="BL18" s="59">
        <f>VLOOKUP(B18,[8]市州营业收现率202502完成!$B$1:$AH$28,6,0)</f>
        <v>10459.624345</v>
      </c>
      <c r="BM18" s="59">
        <f>VLOOKUP(B18,[9]市州营业收现率2月完成!$B$1:$AI$28,7,0)</f>
        <v>12275.001935</v>
      </c>
      <c r="BN18" s="23">
        <f>VLOOKUP(B18,[8]市州营业收现率202502完成!$B$1:$AH$28,5,0)</f>
        <v>0.725194482905549</v>
      </c>
      <c r="BO18" s="23">
        <f>VLOOKUP(B18,[9]市州营业收现率2月完成!$B$1:$AI$28,5,0)</f>
        <v>0.95386828194537</v>
      </c>
      <c r="BP18" s="58">
        <f>RANK(BO18,$BO$5:$BO$25,0)</f>
        <v>11</v>
      </c>
    </row>
    <row r="19" s="1" customFormat="1" ht="15" customHeight="1" spans="1:68">
      <c r="A19" s="10">
        <v>15</v>
      </c>
      <c r="B19" s="10" t="s">
        <v>79</v>
      </c>
      <c r="C19" s="11">
        <v>74002.6261510923</v>
      </c>
      <c r="D19" s="11">
        <v>11380.1527230923</v>
      </c>
      <c r="E19" s="12">
        <v>74169.461442107</v>
      </c>
      <c r="F19" s="12">
        <v>12354.461442107</v>
      </c>
      <c r="G19" s="13">
        <f t="shared" si="0"/>
        <v>0.00225445095251176</v>
      </c>
      <c r="H19" s="13">
        <f t="shared" si="1"/>
        <v>0.0856147314295403</v>
      </c>
      <c r="I19" s="22">
        <f>VLOOKUP(B19,[4]计算结果表!$B$1:$AA$25,13,0)</f>
        <v>5638.201976</v>
      </c>
      <c r="J19" s="22">
        <f>VLOOKUP(B19,[2]计算结果表!$B$1:$AA$25,13,0)</f>
        <v>8087.010389</v>
      </c>
      <c r="K19" s="23">
        <f t="shared" si="2"/>
        <v>0.434324350816765</v>
      </c>
      <c r="L19" s="23">
        <f t="shared" si="3"/>
        <v>0.0761892147514927</v>
      </c>
      <c r="M19" s="23">
        <f t="shared" si="4"/>
        <v>0.109034233655752</v>
      </c>
      <c r="N19" s="24">
        <f>RANK(M19,$M$5:$M$25,1)</f>
        <v>13</v>
      </c>
      <c r="O19" s="23">
        <f t="shared" si="5"/>
        <v>0.0328450189042595</v>
      </c>
      <c r="P19" s="22">
        <f>VLOOKUP(B19,[4]计算结果表!$B$1:$AA$25,15,0)</f>
        <v>2924.432817</v>
      </c>
      <c r="Q19" s="22">
        <f>VLOOKUP(B19,[2]计算结果表!$B$1:$AA$25,15,0)</f>
        <v>5020.445951</v>
      </c>
      <c r="R19" s="23">
        <f t="shared" si="6"/>
        <v>0.716724665998713</v>
      </c>
      <c r="S19" s="23">
        <f t="shared" si="7"/>
        <v>0.256976587938562</v>
      </c>
      <c r="T19" s="23">
        <f t="shared" si="8"/>
        <v>0.406367041940744</v>
      </c>
      <c r="U19" s="24">
        <f>RANK(T19,$T$5:$T$25,1)</f>
        <v>8</v>
      </c>
      <c r="V19" s="23">
        <f t="shared" si="9"/>
        <v>0.149390454002181</v>
      </c>
      <c r="W19" s="28">
        <f>VLOOKUP(B19,[2]计算结果表!$B$1:$T$25,18,0)</f>
        <v>763.50364</v>
      </c>
      <c r="X19" s="28">
        <f>VLOOKUP(B19,[2]计算结果表!$B$1:$T$25,19,0)</f>
        <v>4256.942311</v>
      </c>
      <c r="Y19" s="36">
        <f>VLOOKUP(B19,[1]分ICT资源型数据!$B$1:$P$23,11,0)</f>
        <v>3845.599936</v>
      </c>
      <c r="Z19" s="36">
        <f>VLOOKUP(B19,[1]分ICT资源型数据!$B$1:$P$23,12,0)</f>
        <v>6225.605798</v>
      </c>
      <c r="AA19" s="23">
        <f t="shared" si="10"/>
        <v>0.181994577780924</v>
      </c>
      <c r="AB19" s="24">
        <f>RANK(AA19,$AA$5:$AA$25,1)</f>
        <v>5</v>
      </c>
      <c r="AC19" s="23">
        <f t="shared" si="11"/>
        <v>0.626797976780069</v>
      </c>
      <c r="AD19" s="24">
        <f>RANK(AC19,$AC$5:$AC$25,1)</f>
        <v>9</v>
      </c>
      <c r="AE19" s="37">
        <f>VLOOKUP(B19,[4]计算结果表!$B$1:$T$25,16,0)</f>
        <v>2713.769159</v>
      </c>
      <c r="AF19" s="37">
        <f>VLOOKUP(B19,[2]计算结果表!$B$1:$T$25,16,0)</f>
        <v>3066.564438</v>
      </c>
      <c r="AG19" s="13">
        <f t="shared" si="12"/>
        <v>0.130001948702963</v>
      </c>
      <c r="AH19" s="13">
        <f t="shared" si="13"/>
        <v>0.0433353876084142</v>
      </c>
      <c r="AI19" s="13">
        <f t="shared" si="14"/>
        <v>0.0496087428294103</v>
      </c>
      <c r="AJ19" s="24">
        <f>RANK(AI19,$AI$5:$AI$25,1)</f>
        <v>15</v>
      </c>
      <c r="AK19" s="13">
        <f t="shared" si="15"/>
        <v>0.00627335522099612</v>
      </c>
      <c r="AL19" s="22">
        <f>VLOOKUP(B19,'[5]查询结果(2025年2月)'!$A$2:$L$29,12,0)/10000</f>
        <v>499.894606</v>
      </c>
      <c r="AM19" s="22">
        <f>VLOOKUP(B19,'[3]查询结果(2026年2月)'!$A$2:$L$29,12,0)/10000</f>
        <v>1444.322464</v>
      </c>
      <c r="AN19" s="23">
        <f t="shared" si="16"/>
        <v>1.8892539480612</v>
      </c>
      <c r="AO19" s="24">
        <f>RANK(AN19,$AN$5:$AN$25,1)</f>
        <v>17</v>
      </c>
      <c r="AP19" s="23">
        <f t="shared" si="17"/>
        <v>0.0886620607292696</v>
      </c>
      <c r="AQ19" s="23">
        <f t="shared" si="18"/>
        <v>0.178597824724521</v>
      </c>
      <c r="AR19" s="24">
        <f>RANK(AQ19,$AQ$5:$AQ$25,1)</f>
        <v>9</v>
      </c>
      <c r="AS19" s="44">
        <f>VLOOKUP(B19,'[6]查询结果(2025年2月)'!$A$2:$L$29,12,0)/10000</f>
        <v>240.643536</v>
      </c>
      <c r="AT19" s="44">
        <f>VLOOKUP(B19,'[7]查询结果(2026年2月)'!$A$2:$H$25,8,0)/10000</f>
        <v>777.979155</v>
      </c>
      <c r="AU19" s="45">
        <f t="shared" si="19"/>
        <v>0.15496216124885</v>
      </c>
      <c r="AV19" s="46">
        <f>RANK(AU19,$AU$5:$AU$25,1)</f>
        <v>6</v>
      </c>
      <c r="AW19" s="51">
        <f t="shared" si="20"/>
        <v>2.23291108471744</v>
      </c>
      <c r="AX19" s="52">
        <f>RANK(AW19,$AW$5:$AW$25,1)</f>
        <v>14</v>
      </c>
      <c r="AY19" s="22">
        <f>VLOOKUP(B19,[4]计算结果表!$B$1:$T$25,17,0)</f>
        <v>4447.607866</v>
      </c>
      <c r="AZ19" s="22">
        <f>VLOOKUP(B19,[2]计算结果表!$B$1:$T$25,17,0)</f>
        <v>4830.251745</v>
      </c>
      <c r="BA19" s="23">
        <f t="shared" si="21"/>
        <v>0.0860336366263634</v>
      </c>
      <c r="BB19" s="23">
        <f t="shared" si="22"/>
        <v>0.0601006761154564</v>
      </c>
      <c r="BC19" s="23">
        <f t="shared" si="23"/>
        <v>0.0651245357736655</v>
      </c>
      <c r="BD19" s="24">
        <f>RANK(BC19,$BC$5:$BC$25,0)</f>
        <v>12</v>
      </c>
      <c r="BE19" s="23">
        <f t="shared" si="24"/>
        <v>0.0050238596582091</v>
      </c>
      <c r="BF19" s="55">
        <f>VLOOKUP(B19,[4]计算结果表!$B$1:$T$25,9,0)</f>
        <v>-195.327263</v>
      </c>
      <c r="BG19" s="56">
        <f>VLOOKUP(B19,[2]计算结果表!$B$1:$T$25,9,0)</f>
        <v>359.258578</v>
      </c>
      <c r="BH19" s="57">
        <f t="shared" si="25"/>
        <v>-2.83926489565361</v>
      </c>
      <c r="BI19" s="57">
        <f t="shared" si="26"/>
        <v>-0.0346435377504114</v>
      </c>
      <c r="BJ19" s="57">
        <f t="shared" si="27"/>
        <v>0.0444241519076896</v>
      </c>
      <c r="BK19" s="58">
        <f>RANK(BJ19,$BJ$5:$BJ$25,1)</f>
        <v>11</v>
      </c>
      <c r="BL19" s="59">
        <f>VLOOKUP(B19,[8]市州营业收现率202502完成!$B$1:$AH$28,6,0)</f>
        <v>10420.93143</v>
      </c>
      <c r="BM19" s="59">
        <f>VLOOKUP(B19,[9]市州营业收现率2月完成!$B$1:$AI$28,7,0)</f>
        <v>10004.908031</v>
      </c>
      <c r="BN19" s="23">
        <f>VLOOKUP(B19,[8]市州营业收现率202502完成!$B$1:$AH$28,5,0)</f>
        <v>0.887354269306492</v>
      </c>
      <c r="BO19" s="23">
        <f>VLOOKUP(B19,[9]市州营业收现率2月完成!$B$1:$AI$28,5,0)</f>
        <v>0.90071970712138</v>
      </c>
      <c r="BP19" s="58">
        <f>RANK(BO19,$BO$5:$BO$25,0)</f>
        <v>14</v>
      </c>
    </row>
    <row r="20" s="1" customFormat="1" ht="15" customHeight="1" spans="1:68">
      <c r="A20" s="10">
        <v>16</v>
      </c>
      <c r="B20" s="10" t="s">
        <v>80</v>
      </c>
      <c r="C20" s="11">
        <v>74765.4419522697</v>
      </c>
      <c r="D20" s="11">
        <v>8549.57793026971</v>
      </c>
      <c r="E20" s="12">
        <v>75931.2383485031</v>
      </c>
      <c r="F20" s="12">
        <v>9378.23834850306</v>
      </c>
      <c r="G20" s="13">
        <f t="shared" si="0"/>
        <v>0.01559271724733</v>
      </c>
      <c r="H20" s="13">
        <f t="shared" si="1"/>
        <v>0.0969241318100025</v>
      </c>
      <c r="I20" s="22">
        <f>VLOOKUP(B20,[4]计算结果表!$B$1:$AA$25,13,0)</f>
        <v>5720.975794</v>
      </c>
      <c r="J20" s="22">
        <f>VLOOKUP(B20,[2]计算结果表!$B$1:$AA$25,13,0)</f>
        <v>6456.806684</v>
      </c>
      <c r="K20" s="23">
        <f t="shared" si="2"/>
        <v>0.128619822298797</v>
      </c>
      <c r="L20" s="23">
        <f t="shared" si="3"/>
        <v>0.076518985839103</v>
      </c>
      <c r="M20" s="23">
        <f t="shared" si="4"/>
        <v>0.0850349187559021</v>
      </c>
      <c r="N20" s="24">
        <f>RANK(M20,$M$5:$M$25,1)</f>
        <v>7</v>
      </c>
      <c r="O20" s="23">
        <f t="shared" si="5"/>
        <v>0.00851593291679914</v>
      </c>
      <c r="P20" s="22">
        <f>VLOOKUP(B20,[4]计算结果表!$B$1:$AA$25,15,0)</f>
        <v>3320.479684</v>
      </c>
      <c r="Q20" s="22">
        <f>VLOOKUP(B20,[2]计算结果表!$B$1:$AA$25,15,0)</f>
        <v>5120.287657</v>
      </c>
      <c r="R20" s="23">
        <f t="shared" si="6"/>
        <v>0.542032520684442</v>
      </c>
      <c r="S20" s="23">
        <f t="shared" si="7"/>
        <v>0.388379369260308</v>
      </c>
      <c r="T20" s="23">
        <f t="shared" si="8"/>
        <v>0.545975423819047</v>
      </c>
      <c r="U20" s="24">
        <f>RANK(T20,$T$5:$T$25,1)</f>
        <v>16</v>
      </c>
      <c r="V20" s="23">
        <f t="shared" si="9"/>
        <v>0.157596054558739</v>
      </c>
      <c r="W20" s="28">
        <f>VLOOKUP(B20,[2]计算结果表!$B$1:$T$25,18,0)</f>
        <v>833.600232</v>
      </c>
      <c r="X20" s="28">
        <f>VLOOKUP(B20,[2]计算结果表!$B$1:$T$25,19,0)</f>
        <v>4286.687425</v>
      </c>
      <c r="Y20" s="36">
        <f>VLOOKUP(B20,[1]分ICT资源型数据!$B$1:$P$23,11,0)</f>
        <v>3272.831255</v>
      </c>
      <c r="Z20" s="36">
        <f>VLOOKUP(B20,[1]分ICT资源型数据!$B$1:$P$23,12,0)</f>
        <v>4321.330204</v>
      </c>
      <c r="AA20" s="23">
        <f t="shared" si="10"/>
        <v>0.233477832024676</v>
      </c>
      <c r="AB20" s="24">
        <f>RANK(AA20,$AA$5:$AA$25,1)</f>
        <v>9</v>
      </c>
      <c r="AC20" s="23">
        <f t="shared" si="11"/>
        <v>0.909318031119074</v>
      </c>
      <c r="AD20" s="24">
        <f>RANK(AC20,$AC$5:$AC$25,1)</f>
        <v>19</v>
      </c>
      <c r="AE20" s="37">
        <f>VLOOKUP(B20,[4]计算结果表!$B$1:$T$25,16,0)</f>
        <v>2400.49611</v>
      </c>
      <c r="AF20" s="37">
        <f>VLOOKUP(B20,[2]计算结果表!$B$1:$T$25,16,0)</f>
        <v>1336.519027</v>
      </c>
      <c r="AG20" s="13">
        <f t="shared" si="12"/>
        <v>-0.443232162954848</v>
      </c>
      <c r="AH20" s="13">
        <f t="shared" si="13"/>
        <v>0.0362525830547562</v>
      </c>
      <c r="AI20" s="13">
        <f t="shared" si="14"/>
        <v>0.020082025258065</v>
      </c>
      <c r="AJ20" s="24">
        <f>RANK(AI20,$AI$5:$AI$25,1)</f>
        <v>3</v>
      </c>
      <c r="AK20" s="13">
        <f t="shared" si="15"/>
        <v>-0.0161705577966912</v>
      </c>
      <c r="AL20" s="22">
        <f>VLOOKUP(B20,'[5]查询结果(2025年2月)'!$A$2:$L$29,12,0)/10000</f>
        <v>491.224051</v>
      </c>
      <c r="AM20" s="22">
        <f>VLOOKUP(B20,'[3]查询结果(2026年2月)'!$A$2:$L$29,12,0)/10000</f>
        <v>1404.65537</v>
      </c>
      <c r="AN20" s="23">
        <f t="shared" si="16"/>
        <v>1.85950039934018</v>
      </c>
      <c r="AO20" s="24">
        <f>RANK(AN20,$AN$5:$AN$25,1)</f>
        <v>16</v>
      </c>
      <c r="AP20" s="23">
        <f t="shared" si="17"/>
        <v>0.0858636828205395</v>
      </c>
      <c r="AQ20" s="23">
        <f t="shared" si="18"/>
        <v>0.217546449622031</v>
      </c>
      <c r="AR20" s="24">
        <f>RANK(AQ20,$AQ$5:$AQ$25,1)</f>
        <v>15</v>
      </c>
      <c r="AS20" s="44">
        <f>VLOOKUP(B20,'[6]查询结果(2025年2月)'!$A$2:$L$29,12,0)/10000</f>
        <v>302.871762</v>
      </c>
      <c r="AT20" s="44">
        <f>VLOOKUP(B20,'[7]查询结果(2026年2月)'!$A$2:$H$25,8,0)/10000</f>
        <v>1166.380789</v>
      </c>
      <c r="AU20" s="45">
        <f t="shared" si="19"/>
        <v>0.227795949589947</v>
      </c>
      <c r="AV20" s="46">
        <f>RANK(AU20,$AU$5:$AU$25,1)</f>
        <v>14</v>
      </c>
      <c r="AW20" s="51">
        <f t="shared" si="20"/>
        <v>2.85107142804551</v>
      </c>
      <c r="AX20" s="52">
        <f>RANK(AW20,$AW$5:$AW$25,1)</f>
        <v>17</v>
      </c>
      <c r="AY20" s="22">
        <f>VLOOKUP(B20,[4]计算结果表!$B$1:$T$25,17,0)</f>
        <v>2704.482285</v>
      </c>
      <c r="AZ20" s="22">
        <f>VLOOKUP(B20,[2]计算结果表!$B$1:$T$25,17,0)</f>
        <v>3859.380974</v>
      </c>
      <c r="BA20" s="23">
        <f t="shared" si="21"/>
        <v>0.427031338088428</v>
      </c>
      <c r="BB20" s="23">
        <f t="shared" si="22"/>
        <v>0.0361728923735453</v>
      </c>
      <c r="BC20" s="23">
        <f t="shared" si="23"/>
        <v>0.0508273150542669</v>
      </c>
      <c r="BD20" s="24">
        <f>RANK(BC20,$BC$5:$BC$25,0)</f>
        <v>18</v>
      </c>
      <c r="BE20" s="23">
        <f t="shared" si="24"/>
        <v>0.0146544226807216</v>
      </c>
      <c r="BF20" s="55">
        <f>VLOOKUP(B20,[4]计算结果表!$B$1:$T$25,9,0)</f>
        <v>54.63064</v>
      </c>
      <c r="BG20" s="56">
        <f>VLOOKUP(B20,[2]计算结果表!$B$1:$T$25,9,0)</f>
        <v>222.521206</v>
      </c>
      <c r="BH20" s="57">
        <f t="shared" si="25"/>
        <v>3.07319420017778</v>
      </c>
      <c r="BI20" s="57">
        <f t="shared" si="26"/>
        <v>0.00954918216177301</v>
      </c>
      <c r="BJ20" s="57">
        <f t="shared" si="27"/>
        <v>0.0344630429390752</v>
      </c>
      <c r="BK20" s="58">
        <f>RANK(BJ20,$BJ$5:$BJ$25,1)</f>
        <v>6</v>
      </c>
      <c r="BL20" s="59">
        <f>VLOOKUP(B20,[8]市州营业收现率202502完成!$B$1:$AH$28,6,0)</f>
        <v>12491.08761</v>
      </c>
      <c r="BM20" s="59">
        <f>VLOOKUP(B20,[9]市州营业收现率2月完成!$B$1:$AI$28,7,0)</f>
        <v>12274.573693</v>
      </c>
      <c r="BN20" s="23">
        <f>VLOOKUP(B20,[8]市州营业收现率202502完成!$B$1:$AH$28,5,0)</f>
        <v>0.950487464049028</v>
      </c>
      <c r="BO20" s="23">
        <f>VLOOKUP(B20,[9]市州营业收现率2月完成!$B$1:$AI$28,5,0)</f>
        <v>1.03155789232144</v>
      </c>
      <c r="BP20" s="58">
        <f>RANK(BO20,$BO$5:$BO$25,0)</f>
        <v>5</v>
      </c>
    </row>
    <row r="21" s="1" customFormat="1" ht="15" customHeight="1" spans="1:68">
      <c r="A21" s="10">
        <v>17</v>
      </c>
      <c r="B21" s="10" t="s">
        <v>81</v>
      </c>
      <c r="C21" s="11">
        <v>61742.007236564</v>
      </c>
      <c r="D21" s="11">
        <v>4113.30143756403</v>
      </c>
      <c r="E21" s="12">
        <v>64172.5578319425</v>
      </c>
      <c r="F21" s="12">
        <v>6114.15783194247</v>
      </c>
      <c r="G21" s="13">
        <f t="shared" si="0"/>
        <v>0.0393662387111235</v>
      </c>
      <c r="H21" s="13">
        <f t="shared" si="1"/>
        <v>0.486435634428821</v>
      </c>
      <c r="I21" s="22">
        <f>VLOOKUP(B21,[4]计算结果表!$B$1:$AA$25,13,0)</f>
        <v>4169.285895</v>
      </c>
      <c r="J21" s="22">
        <f>VLOOKUP(B21,[2]计算结果表!$B$1:$AA$25,13,0)</f>
        <v>4237.734062</v>
      </c>
      <c r="K21" s="23">
        <f t="shared" si="2"/>
        <v>0.016417239959986</v>
      </c>
      <c r="L21" s="23">
        <f t="shared" si="3"/>
        <v>0.0675275405126596</v>
      </c>
      <c r="M21" s="23">
        <f t="shared" si="4"/>
        <v>0.0660365459188636</v>
      </c>
      <c r="N21" s="24">
        <f>RANK(M21,$M$5:$M$25,1)</f>
        <v>2</v>
      </c>
      <c r="O21" s="23">
        <f t="shared" si="5"/>
        <v>-0.00149099459379604</v>
      </c>
      <c r="P21" s="22">
        <f>VLOOKUP(B21,[4]计算结果表!$B$1:$AA$25,15,0)</f>
        <v>2953.569546</v>
      </c>
      <c r="Q21" s="22">
        <f>VLOOKUP(B21,[2]计算结果表!$B$1:$AA$25,15,0)</f>
        <v>3110.973621</v>
      </c>
      <c r="R21" s="23">
        <f t="shared" si="6"/>
        <v>0.053292828405944</v>
      </c>
      <c r="S21" s="23">
        <f t="shared" si="7"/>
        <v>0.718053269577334</v>
      </c>
      <c r="T21" s="23">
        <f t="shared" si="8"/>
        <v>0.50881473892401</v>
      </c>
      <c r="U21" s="24">
        <f>RANK(T21,$T$5:$T$25,1)</f>
        <v>12</v>
      </c>
      <c r="V21" s="23">
        <f t="shared" si="9"/>
        <v>-0.209238530653324</v>
      </c>
      <c r="W21" s="28">
        <f>VLOOKUP(B21,[2]计算结果表!$B$1:$T$25,18,0)</f>
        <v>387.911744</v>
      </c>
      <c r="X21" s="28">
        <f>VLOOKUP(B21,[2]计算结果表!$B$1:$T$25,19,0)</f>
        <v>2723.061877</v>
      </c>
      <c r="Y21" s="36">
        <f>VLOOKUP(B21,[1]分ICT资源型数据!$B$1:$P$23,11,0)</f>
        <v>1777.031888</v>
      </c>
      <c r="Z21" s="36">
        <f>VLOOKUP(B21,[1]分ICT资源型数据!$B$1:$P$23,12,0)</f>
        <v>3758.430747</v>
      </c>
      <c r="AA21" s="23">
        <f t="shared" si="10"/>
        <v>0.200100947954026</v>
      </c>
      <c r="AB21" s="24">
        <f>RANK(AA21,$AA$5:$AA$25,1)</f>
        <v>8</v>
      </c>
      <c r="AC21" s="23">
        <f t="shared" si="11"/>
        <v>0.664144219208801</v>
      </c>
      <c r="AD21" s="24">
        <f>RANK(AC21,$AC$5:$AC$25,1)</f>
        <v>12</v>
      </c>
      <c r="AE21" s="37">
        <f>VLOOKUP(B21,[4]计算结果表!$B$1:$T$25,16,0)</f>
        <v>1215.716349</v>
      </c>
      <c r="AF21" s="37">
        <f>VLOOKUP(B21,[2]计算结果表!$B$1:$T$25,16,0)</f>
        <v>1126.760441</v>
      </c>
      <c r="AG21" s="13">
        <f t="shared" si="12"/>
        <v>-0.0731715980238086</v>
      </c>
      <c r="AH21" s="13">
        <f t="shared" si="13"/>
        <v>0.021095673278526</v>
      </c>
      <c r="AI21" s="13">
        <f t="shared" si="14"/>
        <v>0.0194073629483417</v>
      </c>
      <c r="AJ21" s="24">
        <f>RANK(AI21,$AI$5:$AI$25,1)</f>
        <v>2</v>
      </c>
      <c r="AK21" s="13">
        <f t="shared" si="15"/>
        <v>-0.00168831033018434</v>
      </c>
      <c r="AL21" s="22">
        <f>VLOOKUP(B21,'[5]查询结果(2025年2月)'!$A$2:$L$29,12,0)/10000</f>
        <v>421.029073</v>
      </c>
      <c r="AM21" s="22">
        <f>VLOOKUP(B21,'[3]查询结果(2026年2月)'!$A$2:$L$29,12,0)/10000</f>
        <v>1139.397999</v>
      </c>
      <c r="AN21" s="23">
        <f t="shared" si="16"/>
        <v>1.70622166512477</v>
      </c>
      <c r="AO21" s="24">
        <f>RANK(AN21,$AN$5:$AN$25,1)</f>
        <v>13</v>
      </c>
      <c r="AP21" s="23">
        <f t="shared" si="17"/>
        <v>0.100983497798728</v>
      </c>
      <c r="AQ21" s="23">
        <f t="shared" si="18"/>
        <v>0.268869632291711</v>
      </c>
      <c r="AR21" s="24">
        <f>RANK(AQ21,$AQ$5:$AQ$25,1)</f>
        <v>17</v>
      </c>
      <c r="AS21" s="44">
        <f>VLOOKUP(B21,'[6]查询结果(2025年2月)'!$A$2:$L$29,12,0)/10000</f>
        <v>230.251834</v>
      </c>
      <c r="AT21" s="44">
        <f>VLOOKUP(B21,'[7]查询结果(2026年2月)'!$A$2:$H$25,8,0)/10000</f>
        <v>872.102273</v>
      </c>
      <c r="AU21" s="45">
        <f t="shared" si="19"/>
        <v>0.280330976486927</v>
      </c>
      <c r="AV21" s="46">
        <f>RANK(AU21,$AU$5:$AU$25,1)</f>
        <v>16</v>
      </c>
      <c r="AW21" s="51">
        <f t="shared" si="20"/>
        <v>2.78760185250034</v>
      </c>
      <c r="AX21" s="52">
        <f>RANK(AW21,$AW$5:$AW$25,1)</f>
        <v>16</v>
      </c>
      <c r="AY21" s="22">
        <f>VLOOKUP(B21,[4]计算结果表!$B$1:$T$25,17,0)</f>
        <v>3668.259957</v>
      </c>
      <c r="AZ21" s="22">
        <f>VLOOKUP(B21,[2]计算结果表!$B$1:$T$25,17,0)</f>
        <v>4580.608304</v>
      </c>
      <c r="BA21" s="23">
        <f t="shared" si="21"/>
        <v>0.248714201745435</v>
      </c>
      <c r="BB21" s="23">
        <f t="shared" si="22"/>
        <v>0.0594127097770743</v>
      </c>
      <c r="BC21" s="23">
        <f t="shared" si="23"/>
        <v>0.0713795500562073</v>
      </c>
      <c r="BD21" s="24">
        <f>RANK(BC21,$BC$5:$BC$25,0)</f>
        <v>9</v>
      </c>
      <c r="BE21" s="23">
        <f t="shared" si="24"/>
        <v>0.011966840279133</v>
      </c>
      <c r="BF21" s="55">
        <f>VLOOKUP(B21,[4]计算结果表!$B$1:$T$25,9,0)</f>
        <v>109.306412</v>
      </c>
      <c r="BG21" s="56">
        <f>VLOOKUP(B21,[2]计算结果表!$B$1:$T$25,9,0)</f>
        <v>357.857256</v>
      </c>
      <c r="BH21" s="57">
        <f t="shared" si="25"/>
        <v>2.27389079425642</v>
      </c>
      <c r="BI21" s="57">
        <f t="shared" si="26"/>
        <v>0.0262170584490465</v>
      </c>
      <c r="BJ21" s="57">
        <f t="shared" si="27"/>
        <v>0.0844454254949422</v>
      </c>
      <c r="BK21" s="58">
        <f>RANK(BJ21,$BJ$5:$BJ$25,1)</f>
        <v>20</v>
      </c>
      <c r="BL21" s="59">
        <f>VLOOKUP(B21,[8]市州营业收现率202502完成!$B$1:$AH$28,6,0)</f>
        <v>10767.017246</v>
      </c>
      <c r="BM21" s="59">
        <f>VLOOKUP(B21,[9]市州营业收现率2月完成!$B$1:$AI$28,7,0)</f>
        <v>9982.368816</v>
      </c>
      <c r="BN21" s="23">
        <f>VLOOKUP(B21,[8]市州营业收现率202502完成!$B$1:$AH$28,5,0)</f>
        <v>0.945877618482129</v>
      </c>
      <c r="BO21" s="23">
        <f>VLOOKUP(B21,[9]市州营业收现率2月完成!$B$1:$AI$28,5,0)</f>
        <v>0.99616862116697</v>
      </c>
      <c r="BP21" s="58">
        <f>RANK(BO21,$BO$5:$BO$25,0)</f>
        <v>8</v>
      </c>
    </row>
    <row r="22" s="1" customFormat="1" ht="15" customHeight="1" spans="1:68">
      <c r="A22" s="10">
        <v>18</v>
      </c>
      <c r="B22" s="10" t="s">
        <v>82</v>
      </c>
      <c r="C22" s="11">
        <v>57221.629940173</v>
      </c>
      <c r="D22" s="11">
        <v>16455.209782173</v>
      </c>
      <c r="E22" s="12">
        <v>59138.3698399853</v>
      </c>
      <c r="F22" s="12">
        <v>18143.3698399853</v>
      </c>
      <c r="G22" s="13">
        <f t="shared" si="0"/>
        <v>0.0334967721439656</v>
      </c>
      <c r="H22" s="13">
        <f t="shared" si="1"/>
        <v>0.102591220662601</v>
      </c>
      <c r="I22" s="22">
        <f>VLOOKUP(B22,[4]计算结果表!$B$1:$AA$25,13,0)</f>
        <v>6265.426599</v>
      </c>
      <c r="J22" s="22">
        <f>VLOOKUP(B22,[2]计算结果表!$B$1:$AA$25,13,0)</f>
        <v>9063.555339</v>
      </c>
      <c r="K22" s="23">
        <f t="shared" si="2"/>
        <v>0.446598279588272</v>
      </c>
      <c r="L22" s="23">
        <f t="shared" si="3"/>
        <v>0.109494025345847</v>
      </c>
      <c r="M22" s="23">
        <f t="shared" si="4"/>
        <v>0.153260148420118</v>
      </c>
      <c r="N22" s="24">
        <f>RANK(M22,$M$5:$M$25,1)</f>
        <v>21</v>
      </c>
      <c r="O22" s="23">
        <f t="shared" si="5"/>
        <v>0.043766123074271</v>
      </c>
      <c r="P22" s="22">
        <f>VLOOKUP(B22,[4]计算结果表!$B$1:$AA$25,15,0)</f>
        <v>4100.040024</v>
      </c>
      <c r="Q22" s="22">
        <f>VLOOKUP(B22,[2]计算结果表!$B$1:$AA$25,15,0)</f>
        <v>6077.705469</v>
      </c>
      <c r="R22" s="23">
        <f t="shared" si="6"/>
        <v>0.482352716906063</v>
      </c>
      <c r="S22" s="23">
        <f t="shared" si="7"/>
        <v>0.249163643507106</v>
      </c>
      <c r="T22" s="23">
        <f t="shared" si="8"/>
        <v>0.334982173796934</v>
      </c>
      <c r="U22" s="24">
        <f>RANK(T22,$T$5:$T$25,1)</f>
        <v>3</v>
      </c>
      <c r="V22" s="23">
        <f t="shared" si="9"/>
        <v>0.0858185302898275</v>
      </c>
      <c r="W22" s="28">
        <f>VLOOKUP(B22,[2]计算结果表!$B$1:$T$25,18,0)</f>
        <v>3222.535697</v>
      </c>
      <c r="X22" s="28">
        <f>VLOOKUP(B22,[2]计算结果表!$B$1:$T$25,19,0)</f>
        <v>2855.169772</v>
      </c>
      <c r="Y22" s="36">
        <f>VLOOKUP(B22,[1]分ICT资源型数据!$B$1:$P$23,11,0)</f>
        <v>7148.104486</v>
      </c>
      <c r="Z22" s="36">
        <f>VLOOKUP(B22,[1]分ICT资源型数据!$B$1:$P$23,12,0)</f>
        <v>6615.086508</v>
      </c>
      <c r="AA22" s="23">
        <f t="shared" si="10"/>
        <v>0.413255158954224</v>
      </c>
      <c r="AB22" s="24">
        <f>RANK(AA22,$AA$5:$AA$25,1)</f>
        <v>20</v>
      </c>
      <c r="AC22" s="23">
        <f t="shared" si="11"/>
        <v>0.39564697370193</v>
      </c>
      <c r="AD22" s="24">
        <f>RANK(AC22,$AC$5:$AC$25,1)</f>
        <v>2</v>
      </c>
      <c r="AE22" s="37">
        <f>VLOOKUP(B22,[4]计算结果表!$B$1:$T$25,16,0)</f>
        <v>2165.386575</v>
      </c>
      <c r="AF22" s="37">
        <f>VLOOKUP(B22,[2]计算结果表!$B$1:$T$25,16,0)</f>
        <v>2985.84987</v>
      </c>
      <c r="AG22" s="13">
        <f t="shared" si="12"/>
        <v>0.378899224957096</v>
      </c>
      <c r="AH22" s="13">
        <f t="shared" si="13"/>
        <v>0.0531169174680418</v>
      </c>
      <c r="AI22" s="13">
        <f t="shared" si="14"/>
        <v>0.0728344888401024</v>
      </c>
      <c r="AJ22" s="24">
        <f>RANK(AI22,$AI$5:$AI$25,1)</f>
        <v>21</v>
      </c>
      <c r="AK22" s="13">
        <f t="shared" si="15"/>
        <v>0.0197175713720607</v>
      </c>
      <c r="AL22" s="22">
        <f>VLOOKUP(B22,'[5]查询结果(2025年2月)'!$A$2:$L$29,12,0)/10000</f>
        <v>841.668495</v>
      </c>
      <c r="AM22" s="22">
        <f>VLOOKUP(B22,'[3]查询结果(2026年2月)'!$A$2:$L$29,12,0)/10000</f>
        <v>1329.814431</v>
      </c>
      <c r="AN22" s="23">
        <f t="shared" si="16"/>
        <v>0.5799741096404</v>
      </c>
      <c r="AO22" s="24">
        <f>RANK(AN22,$AN$5:$AN$25,1)</f>
        <v>7</v>
      </c>
      <c r="AP22" s="23">
        <f t="shared" si="17"/>
        <v>0.134335385101205</v>
      </c>
      <c r="AQ22" s="23">
        <f t="shared" si="18"/>
        <v>0.146721058267044</v>
      </c>
      <c r="AR22" s="24">
        <f>RANK(AQ22,$AQ$5:$AQ$25,1)</f>
        <v>6</v>
      </c>
      <c r="AS22" s="44">
        <f>VLOOKUP(B22,'[6]查询结果(2025年2月)'!$A$2:$L$29,12,0)/10000</f>
        <v>506.976954</v>
      </c>
      <c r="AT22" s="44">
        <f>VLOOKUP(B22,'[7]查询结果(2026年2月)'!$A$2:$H$25,8,0)/10000</f>
        <v>851.63493</v>
      </c>
      <c r="AU22" s="45">
        <f t="shared" si="19"/>
        <v>0.140124416088252</v>
      </c>
      <c r="AV22" s="46">
        <f>RANK(AU22,$AU$5:$AU$25,1)</f>
        <v>4</v>
      </c>
      <c r="AW22" s="51">
        <f t="shared" si="20"/>
        <v>0.679829671310858</v>
      </c>
      <c r="AX22" s="52">
        <f>RANK(AW22,$AW$5:$AW$25,1)</f>
        <v>7</v>
      </c>
      <c r="AY22" s="22">
        <f>VLOOKUP(B22,[4]计算结果表!$B$1:$T$25,17,0)</f>
        <v>5940.217065</v>
      </c>
      <c r="AZ22" s="22">
        <f>VLOOKUP(B22,[2]计算结果表!$B$1:$T$25,17,0)</f>
        <v>6004.812275</v>
      </c>
      <c r="BA22" s="23">
        <f t="shared" si="21"/>
        <v>0.0108742171023679</v>
      </c>
      <c r="BB22" s="23">
        <f t="shared" si="22"/>
        <v>0.103810693110467</v>
      </c>
      <c r="BC22" s="23">
        <f t="shared" si="23"/>
        <v>0.101538346275821</v>
      </c>
      <c r="BD22" s="24">
        <f>RANK(BC22,$BC$5:$BC$25,0)</f>
        <v>2</v>
      </c>
      <c r="BE22" s="23">
        <f t="shared" si="24"/>
        <v>-0.00227234683464578</v>
      </c>
      <c r="BF22" s="55">
        <f>VLOOKUP(B22,[4]计算结果表!$B$1:$T$25,9,0)</f>
        <v>121.276408</v>
      </c>
      <c r="BG22" s="56">
        <f>VLOOKUP(B22,[2]计算结果表!$B$1:$T$25,9,0)</f>
        <v>569.247619</v>
      </c>
      <c r="BH22" s="57">
        <f t="shared" si="25"/>
        <v>3.69380342300375</v>
      </c>
      <c r="BI22" s="57">
        <f t="shared" si="26"/>
        <v>0.0193564486126701</v>
      </c>
      <c r="BJ22" s="57">
        <f t="shared" si="27"/>
        <v>0.0628062165131334</v>
      </c>
      <c r="BK22" s="58">
        <f>RANK(BJ22,$BJ$5:$BJ$25,1)</f>
        <v>16</v>
      </c>
      <c r="BL22" s="59">
        <f>VLOOKUP(B22,[8]市州营业收现率202502完成!$B$1:$AH$28,6,0)</f>
        <v>4592.588209</v>
      </c>
      <c r="BM22" s="59">
        <f>VLOOKUP(B22,[9]市州营业收现率2月完成!$B$1:$AI$28,7,0)</f>
        <v>5301.160421</v>
      </c>
      <c r="BN22" s="23">
        <f>VLOOKUP(B22,[8]市州营业收现率202502完成!$B$1:$AH$28,5,0)</f>
        <v>0.520189503245897</v>
      </c>
      <c r="BO22" s="23">
        <f>VLOOKUP(B22,[9]市州营业收现率2月完成!$B$1:$AI$28,5,0)</f>
        <v>0.627713682491048</v>
      </c>
      <c r="BP22" s="58">
        <f>RANK(BO22,$BO$5:$BO$25,0)</f>
        <v>20</v>
      </c>
    </row>
    <row r="23" s="1" customFormat="1" ht="15" customHeight="1" spans="1:68">
      <c r="A23" s="10">
        <v>19</v>
      </c>
      <c r="B23" s="10" t="s">
        <v>83</v>
      </c>
      <c r="C23" s="11">
        <v>55656.4640550355</v>
      </c>
      <c r="D23" s="11">
        <v>10789.5396620355</v>
      </c>
      <c r="E23" s="12">
        <v>56414.2200194601</v>
      </c>
      <c r="F23" s="12">
        <v>11740.2200194601</v>
      </c>
      <c r="G23" s="13">
        <f t="shared" si="0"/>
        <v>0.0136148779353877</v>
      </c>
      <c r="H23" s="13">
        <f t="shared" si="1"/>
        <v>0.0881112992030328</v>
      </c>
      <c r="I23" s="22">
        <f>VLOOKUP(B23,[4]计算结果表!$B$1:$AA$25,13,0)</f>
        <v>2887.00838</v>
      </c>
      <c r="J23" s="22">
        <f>VLOOKUP(B23,[2]计算结果表!$B$1:$AA$25,13,0)</f>
        <v>3334.337497</v>
      </c>
      <c r="K23" s="23">
        <f t="shared" si="2"/>
        <v>0.154945555440334</v>
      </c>
      <c r="L23" s="23">
        <f t="shared" si="3"/>
        <v>0.0518719330991851</v>
      </c>
      <c r="M23" s="23">
        <f t="shared" si="4"/>
        <v>0.0591045572525831</v>
      </c>
      <c r="N23" s="24">
        <f>RANK(M23,$M$5:$M$25,1)</f>
        <v>1</v>
      </c>
      <c r="O23" s="23">
        <f t="shared" si="5"/>
        <v>0.00723262415339804</v>
      </c>
      <c r="P23" s="22">
        <f>VLOOKUP(B23,[4]计算结果表!$B$1:$AA$25,15,0)</f>
        <v>1419.209738</v>
      </c>
      <c r="Q23" s="22">
        <f>VLOOKUP(B23,[2]计算结果表!$B$1:$AA$25,15,0)</f>
        <v>2312.013294</v>
      </c>
      <c r="R23" s="23">
        <f t="shared" si="6"/>
        <v>0.629084998569817</v>
      </c>
      <c r="S23" s="23">
        <f t="shared" si="7"/>
        <v>0.131535707959227</v>
      </c>
      <c r="T23" s="23">
        <f t="shared" si="8"/>
        <v>0.196931002159048</v>
      </c>
      <c r="U23" s="24">
        <f>RANK(T23,$T$5:$T$25,1)</f>
        <v>1</v>
      </c>
      <c r="V23" s="23">
        <f t="shared" si="9"/>
        <v>0.0653952941998212</v>
      </c>
      <c r="W23" s="28">
        <f>VLOOKUP(B23,[2]计算结果表!$B$1:$T$25,18,0)</f>
        <v>1411.689762</v>
      </c>
      <c r="X23" s="28">
        <f>VLOOKUP(B23,[2]计算结果表!$B$1:$T$25,19,0)</f>
        <v>900.323532</v>
      </c>
      <c r="Y23" s="36">
        <f>VLOOKUP(B23,[1]分ICT资源型数据!$B$1:$P$23,11,0)</f>
        <v>7065.961656</v>
      </c>
      <c r="Z23" s="36">
        <f>VLOOKUP(B23,[1]分ICT资源型数据!$B$1:$P$23,12,0)</f>
        <v>6035.403786</v>
      </c>
      <c r="AA23" s="23">
        <f t="shared" si="10"/>
        <v>0.183138405145628</v>
      </c>
      <c r="AB23" s="24">
        <f>RANK(AA23,$AA$5:$AA$25,1)</f>
        <v>6</v>
      </c>
      <c r="AC23" s="23">
        <f t="shared" si="11"/>
        <v>0.136742561104925</v>
      </c>
      <c r="AD23" s="24">
        <f>RANK(AC23,$AC$5:$AC$25,1)</f>
        <v>1</v>
      </c>
      <c r="AE23" s="37">
        <f>VLOOKUP(B23,[4]计算结果表!$B$1:$T$25,16,0)</f>
        <v>1467.798642</v>
      </c>
      <c r="AF23" s="37">
        <f>VLOOKUP(B23,[2]计算结果表!$B$1:$T$25,16,0)</f>
        <v>1022.324203</v>
      </c>
      <c r="AG23" s="13">
        <f t="shared" si="12"/>
        <v>-0.303498331619249</v>
      </c>
      <c r="AH23" s="13">
        <f t="shared" si="13"/>
        <v>0.0327144920642031</v>
      </c>
      <c r="AI23" s="13">
        <f t="shared" si="14"/>
        <v>0.0228840982002955</v>
      </c>
      <c r="AJ23" s="24">
        <f>RANK(AI23,$AI$5:$AI$25,1)</f>
        <v>5</v>
      </c>
      <c r="AK23" s="13">
        <f t="shared" si="15"/>
        <v>-0.00983039386390765</v>
      </c>
      <c r="AL23" s="22">
        <f>VLOOKUP(B23,'[5]查询结果(2025年2月)'!$A$2:$L$29,12,0)/10000</f>
        <v>256.475558</v>
      </c>
      <c r="AM23" s="22">
        <f>VLOOKUP(B23,'[3]查询结果(2026年2月)'!$A$2:$L$29,12,0)/10000</f>
        <v>271.817626</v>
      </c>
      <c r="AN23" s="23">
        <f t="shared" si="16"/>
        <v>0.0598188307674914</v>
      </c>
      <c r="AO23" s="24">
        <f>RANK(AN23,$AN$5:$AN$25,1)</f>
        <v>5</v>
      </c>
      <c r="AP23" s="23">
        <f t="shared" si="17"/>
        <v>0.0888378294211948</v>
      </c>
      <c r="AQ23" s="23">
        <f t="shared" si="18"/>
        <v>0.0815207297535304</v>
      </c>
      <c r="AR23" s="24">
        <f>RANK(AQ23,$AQ$5:$AQ$25,1)</f>
        <v>2</v>
      </c>
      <c r="AS23" s="44">
        <f>VLOOKUP(B23,'[6]查询结果(2025年2月)'!$A$2:$L$29,12,0)/10000</f>
        <v>161.776837</v>
      </c>
      <c r="AT23" s="44">
        <f>VLOOKUP(B23,'[7]查询结果(2026年2月)'!$A$2:$H$25,8,0)/10000</f>
        <v>138.315523</v>
      </c>
      <c r="AU23" s="45">
        <f t="shared" si="19"/>
        <v>0.0598247092086141</v>
      </c>
      <c r="AV23" s="46">
        <f>RANK(AU23,$AU$5:$AU$25,1)</f>
        <v>1</v>
      </c>
      <c r="AW23" s="51">
        <f t="shared" si="20"/>
        <v>-0.145022701859352</v>
      </c>
      <c r="AX23" s="52">
        <f>RANK(AW23,$AW$5:$AW$25,1)</f>
        <v>4</v>
      </c>
      <c r="AY23" s="22">
        <f>VLOOKUP(B23,[4]计算结果表!$B$1:$T$25,17,0)</f>
        <v>3301.164791</v>
      </c>
      <c r="AZ23" s="22">
        <f>VLOOKUP(B23,[2]计算结果表!$B$1:$T$25,17,0)</f>
        <v>3431.612248</v>
      </c>
      <c r="BA23" s="23">
        <f t="shared" si="21"/>
        <v>0.0395155847280451</v>
      </c>
      <c r="BB23" s="23">
        <f t="shared" si="22"/>
        <v>0.0593132324708172</v>
      </c>
      <c r="BC23" s="23">
        <f t="shared" si="23"/>
        <v>0.0608288521372141</v>
      </c>
      <c r="BD23" s="24">
        <f>RANK(BC23,$BC$5:$BC$25,0)</f>
        <v>13</v>
      </c>
      <c r="BE23" s="23">
        <f t="shared" si="24"/>
        <v>0.0015156196663969</v>
      </c>
      <c r="BF23" s="55">
        <f>VLOOKUP(B23,[4]计算结果表!$B$1:$T$25,9,0)</f>
        <v>105.160789</v>
      </c>
      <c r="BG23" s="56">
        <f>VLOOKUP(B23,[2]计算结果表!$B$1:$T$25,9,0)</f>
        <v>115.628019</v>
      </c>
      <c r="BH23" s="57">
        <f t="shared" si="25"/>
        <v>0.0995354837058136</v>
      </c>
      <c r="BI23" s="57">
        <f t="shared" si="26"/>
        <v>0.0364255226027435</v>
      </c>
      <c r="BJ23" s="57">
        <f t="shared" si="27"/>
        <v>0.0346779589960626</v>
      </c>
      <c r="BK23" s="58">
        <f>RANK(BJ23,$BJ$5:$BJ$25,1)</f>
        <v>7</v>
      </c>
      <c r="BL23" s="59">
        <f>VLOOKUP(B23,[8]市州营业收现率202502完成!$B$1:$AH$28,6,0)</f>
        <v>9209.930923</v>
      </c>
      <c r="BM23" s="59">
        <f>VLOOKUP(B23,[9]市州营业收现率2月完成!$B$1:$AI$28,7,0)</f>
        <v>7512.699927</v>
      </c>
      <c r="BN23" s="23">
        <f>VLOOKUP(B23,[8]市州营业收现率202502完成!$B$1:$AH$28,5,0)</f>
        <v>0.879123088607234</v>
      </c>
      <c r="BO23" s="23">
        <f>VLOOKUP(B23,[9]市州营业收现率2月完成!$B$1:$AI$28,5,0)</f>
        <v>0.789496296751761</v>
      </c>
      <c r="BP23" s="58">
        <f>RANK(BO23,$BO$5:$BO$25,0)</f>
        <v>17</v>
      </c>
    </row>
    <row r="24" s="1" customFormat="1" ht="15" customHeight="1" spans="1:68">
      <c r="A24" s="10">
        <v>20</v>
      </c>
      <c r="B24" s="10" t="s">
        <v>84</v>
      </c>
      <c r="C24" s="11">
        <v>43837.1132383559</v>
      </c>
      <c r="D24" s="11">
        <v>8900.75600535587</v>
      </c>
      <c r="E24" s="12">
        <v>45301.2004900351</v>
      </c>
      <c r="F24" s="12">
        <v>10350.2004900351</v>
      </c>
      <c r="G24" s="13">
        <f t="shared" si="0"/>
        <v>0.0333983500172219</v>
      </c>
      <c r="H24" s="13">
        <f t="shared" si="1"/>
        <v>0.162845098080102</v>
      </c>
      <c r="I24" s="22">
        <f>VLOOKUP(B24,[4]计算结果表!$B$1:$AA$25,13,0)</f>
        <v>3734.27995</v>
      </c>
      <c r="J24" s="22">
        <f>VLOOKUP(B24,[2]计算结果表!$B$1:$AA$25,13,0)</f>
        <v>6231.124284</v>
      </c>
      <c r="K24" s="23">
        <f t="shared" si="2"/>
        <v>0.66862805344843</v>
      </c>
      <c r="L24" s="23">
        <f t="shared" si="3"/>
        <v>0.0851853526416206</v>
      </c>
      <c r="M24" s="23">
        <f t="shared" si="4"/>
        <v>0.137548767286436</v>
      </c>
      <c r="N24" s="24">
        <f>RANK(M24,$M$5:$M$25,1)</f>
        <v>19</v>
      </c>
      <c r="O24" s="23">
        <f t="shared" si="5"/>
        <v>0.052363414644815</v>
      </c>
      <c r="P24" s="22">
        <f>VLOOKUP(B24,[4]计算结果表!$B$1:$AA$25,15,0)</f>
        <v>1991.464241</v>
      </c>
      <c r="Q24" s="22">
        <f>VLOOKUP(B24,[2]计算结果表!$B$1:$AA$25,15,0)</f>
        <v>3823.894962</v>
      </c>
      <c r="R24" s="23">
        <f t="shared" si="6"/>
        <v>0.92014241746056</v>
      </c>
      <c r="S24" s="23">
        <f t="shared" si="7"/>
        <v>0.223741021526899</v>
      </c>
      <c r="T24" s="23">
        <f t="shared" si="8"/>
        <v>0.369451293787163</v>
      </c>
      <c r="U24" s="24">
        <f>RANK(T24,$T$5:$T$25,1)</f>
        <v>5</v>
      </c>
      <c r="V24" s="23">
        <f t="shared" si="9"/>
        <v>0.145710272260265</v>
      </c>
      <c r="W24" s="28">
        <f>VLOOKUP(B24,[2]计算结果表!$B$1:$T$25,18,0)</f>
        <v>1404.422938</v>
      </c>
      <c r="X24" s="28">
        <f>VLOOKUP(B24,[2]计算结果表!$B$1:$T$25,19,0)</f>
        <v>2419.472024</v>
      </c>
      <c r="Y24" s="36">
        <f>VLOOKUP(B24,[1]分ICT资源型数据!$B$1:$P$23,11,0)</f>
        <v>4799.487616</v>
      </c>
      <c r="Z24" s="36">
        <f>VLOOKUP(B24,[1]分ICT资源型数据!$B$1:$P$23,12,0)</f>
        <v>3645.945901</v>
      </c>
      <c r="AA24" s="23">
        <f t="shared" si="10"/>
        <v>0.268234402538078</v>
      </c>
      <c r="AB24" s="24">
        <f>RANK(AA24,$AA$5:$AA$25,1)</f>
        <v>14</v>
      </c>
      <c r="AC24" s="23">
        <f t="shared" si="11"/>
        <v>0.608305612742369</v>
      </c>
      <c r="AD24" s="24">
        <f>RANK(AC24,$AC$5:$AC$25,1)</f>
        <v>7</v>
      </c>
      <c r="AE24" s="37">
        <f>VLOOKUP(B24,[4]计算结果表!$B$1:$T$25,16,0)</f>
        <v>1742.815709</v>
      </c>
      <c r="AF24" s="37">
        <f>VLOOKUP(B24,[2]计算结果表!$B$1:$T$25,16,0)</f>
        <v>2407.229322</v>
      </c>
      <c r="AG24" s="13">
        <f t="shared" si="12"/>
        <v>0.381229988672314</v>
      </c>
      <c r="AH24" s="13">
        <f t="shared" si="13"/>
        <v>0.0498854444777024</v>
      </c>
      <c r="AI24" s="13">
        <f t="shared" si="14"/>
        <v>0.0688744047952848</v>
      </c>
      <c r="AJ24" s="24">
        <f>RANK(AI24,$AI$5:$AI$25,1)</f>
        <v>20</v>
      </c>
      <c r="AK24" s="13">
        <f t="shared" si="15"/>
        <v>0.0189889603175824</v>
      </c>
      <c r="AL24" s="22">
        <f>VLOOKUP(B24,'[5]查询结果(2025年2月)'!$A$2:$L$29,12,0)/10000</f>
        <v>604.528001</v>
      </c>
      <c r="AM24" s="22">
        <f>VLOOKUP(B24,'[3]查询结果(2026年2月)'!$A$2:$L$29,12,0)/10000</f>
        <v>1177.336522</v>
      </c>
      <c r="AN24" s="23">
        <f t="shared" si="16"/>
        <v>0.947530172386506</v>
      </c>
      <c r="AO24" s="24">
        <f>RANK(AN24,$AN$5:$AN$25,1)</f>
        <v>10</v>
      </c>
      <c r="AP24" s="23">
        <f t="shared" si="17"/>
        <v>0.161886095604589</v>
      </c>
      <c r="AQ24" s="23">
        <f t="shared" si="18"/>
        <v>0.188944477487492</v>
      </c>
      <c r="AR24" s="24">
        <f>RANK(AQ24,$AQ$5:$AQ$25,1)</f>
        <v>11</v>
      </c>
      <c r="AS24" s="44">
        <f>VLOOKUP(B24,'[6]查询结果(2025年2月)'!$A$2:$L$29,12,0)/10000</f>
        <v>233.49717</v>
      </c>
      <c r="AT24" s="44">
        <f>VLOOKUP(B24,'[7]查询结果(2026年2月)'!$A$2:$H$25,8,0)/10000</f>
        <v>579.772276</v>
      </c>
      <c r="AU24" s="45">
        <f t="shared" si="19"/>
        <v>0.151618253576914</v>
      </c>
      <c r="AV24" s="46">
        <f>RANK(AU24,$AU$5:$AU$25,1)</f>
        <v>5</v>
      </c>
      <c r="AW24" s="51">
        <f t="shared" si="20"/>
        <v>1.48299487312844</v>
      </c>
      <c r="AX24" s="52">
        <f>RANK(AW24,$AW$5:$AW$25,1)</f>
        <v>10</v>
      </c>
      <c r="AY24" s="22">
        <f>VLOOKUP(B24,[4]计算结果表!$B$1:$T$25,17,0)</f>
        <v>6223.497179</v>
      </c>
      <c r="AZ24" s="22">
        <f>VLOOKUP(B24,[2]计算结果表!$B$1:$T$25,17,0)</f>
        <v>6031.767157</v>
      </c>
      <c r="BA24" s="23">
        <f t="shared" si="21"/>
        <v>-0.0308074409749804</v>
      </c>
      <c r="BB24" s="23">
        <f t="shared" si="22"/>
        <v>0.141968681768823</v>
      </c>
      <c r="BC24" s="23">
        <f t="shared" si="23"/>
        <v>0.133148064328379</v>
      </c>
      <c r="BD24" s="24">
        <f>RANK(BC24,$BC$5:$BC$25,0)</f>
        <v>1</v>
      </c>
      <c r="BE24" s="23">
        <f t="shared" si="24"/>
        <v>-0.00882061744044357</v>
      </c>
      <c r="BF24" s="55">
        <f>VLOOKUP(B24,[4]计算结果表!$B$1:$T$25,9,0)</f>
        <v>419.203983</v>
      </c>
      <c r="BG24" s="56">
        <f>VLOOKUP(B24,[2]计算结果表!$B$1:$T$25,9,0)</f>
        <v>433.900746</v>
      </c>
      <c r="BH24" s="57">
        <f t="shared" si="25"/>
        <v>0.0350587389337855</v>
      </c>
      <c r="BI24" s="57">
        <f t="shared" si="26"/>
        <v>0.112258317162322</v>
      </c>
      <c r="BJ24" s="57">
        <f t="shared" si="27"/>
        <v>0.0696344232956725</v>
      </c>
      <c r="BK24" s="58">
        <f>RANK(BJ24,$BJ$5:$BJ$25,1)</f>
        <v>18</v>
      </c>
      <c r="BL24" s="59">
        <f>VLOOKUP(B24,[8]市州营业收现率202502完成!$B$1:$AH$28,6,0)</f>
        <v>1983.643418</v>
      </c>
      <c r="BM24" s="59">
        <f>VLOOKUP(B24,[9]市州营业收现率2月完成!$B$1:$AI$28,7,0)</f>
        <v>2736.812075</v>
      </c>
      <c r="BN24" s="23">
        <f>VLOOKUP(B24,[8]市州营业收现率202502完成!$B$1:$AH$28,5,0)</f>
        <v>0.304582025229499</v>
      </c>
      <c r="BO24" s="23">
        <f>VLOOKUP(B24,[9]市州营业收现率2月完成!$B$1:$AI$28,5,0)</f>
        <v>0.395424633160755</v>
      </c>
      <c r="BP24" s="58">
        <f>RANK(BO24,$BO$5:$BO$25,0)</f>
        <v>21</v>
      </c>
    </row>
    <row r="25" s="1" customFormat="1" ht="15" customHeight="1" spans="1:68">
      <c r="A25" s="10">
        <v>21</v>
      </c>
      <c r="B25" s="10" t="s">
        <v>85</v>
      </c>
      <c r="C25" s="11">
        <v>41681.5980668821</v>
      </c>
      <c r="D25" s="11">
        <v>5590.13373888209</v>
      </c>
      <c r="E25" s="12">
        <v>40623.8028209367</v>
      </c>
      <c r="F25" s="12">
        <v>6186.80282093672</v>
      </c>
      <c r="G25" s="13">
        <f t="shared" si="0"/>
        <v>-0.025377991607905</v>
      </c>
      <c r="H25" s="13">
        <f t="shared" si="1"/>
        <v>0.106736101482601</v>
      </c>
      <c r="I25" s="22">
        <f>VLOOKUP(B25,[4]计算结果表!$B$1:$AA$25,13,0)</f>
        <v>5444.784699</v>
      </c>
      <c r="J25" s="22">
        <f>VLOOKUP(B25,[2]计算结果表!$B$1:$AA$25,13,0)</f>
        <v>4601.261334</v>
      </c>
      <c r="K25" s="23">
        <f t="shared" si="2"/>
        <v>-0.154923180921171</v>
      </c>
      <c r="L25" s="23">
        <f t="shared" si="3"/>
        <v>0.130628021753468</v>
      </c>
      <c r="M25" s="23">
        <f t="shared" si="4"/>
        <v>0.113265155265784</v>
      </c>
      <c r="N25" s="24">
        <f>RANK(M25,$M$5:$M$25,1)</f>
        <v>15</v>
      </c>
      <c r="O25" s="23">
        <f t="shared" si="5"/>
        <v>-0.0173628664876841</v>
      </c>
      <c r="P25" s="22">
        <f>VLOOKUP(B25,[4]计算结果表!$B$1:$AA$25,15,0)</f>
        <v>3008.522074</v>
      </c>
      <c r="Q25" s="22">
        <f>VLOOKUP(B25,[2]计算结果表!$B$1:$AA$25,15,0)</f>
        <v>2844.916375</v>
      </c>
      <c r="R25" s="23">
        <f t="shared" si="6"/>
        <v>-0.0543807540632325</v>
      </c>
      <c r="S25" s="23">
        <f t="shared" si="7"/>
        <v>0.538184275104953</v>
      </c>
      <c r="T25" s="23">
        <f t="shared" si="8"/>
        <v>0.459836276884813</v>
      </c>
      <c r="U25" s="24">
        <f>RANK(T25,$T$5:$T$25,1)</f>
        <v>10</v>
      </c>
      <c r="V25" s="23">
        <f t="shared" si="9"/>
        <v>-0.0783479982201403</v>
      </c>
      <c r="W25" s="28">
        <f>VLOOKUP(B25,[2]计算结果表!$B$1:$T$25,18,0)</f>
        <v>688.257505</v>
      </c>
      <c r="X25" s="28">
        <f>VLOOKUP(B25,[2]计算结果表!$B$1:$T$25,19,0)</f>
        <v>2156.65887</v>
      </c>
      <c r="Y25" s="36">
        <f>VLOOKUP(B25,[1]分ICT资源型数据!$B$1:$P$23,11,0)</f>
        <v>1936.283653</v>
      </c>
      <c r="Z25" s="36">
        <f>VLOOKUP(B25,[1]分ICT资源型数据!$B$1:$P$23,12,0)</f>
        <v>3160.695106</v>
      </c>
      <c r="AA25" s="23">
        <f t="shared" si="10"/>
        <v>0.325831761239719</v>
      </c>
      <c r="AB25" s="24">
        <f>RANK(AA25,$AA$5:$AA$25,1)</f>
        <v>17</v>
      </c>
      <c r="AC25" s="23">
        <f t="shared" si="11"/>
        <v>0.625475482828808</v>
      </c>
      <c r="AD25" s="24">
        <f>RANK(AC25,$AC$5:$AC$25,1)</f>
        <v>8</v>
      </c>
      <c r="AE25" s="37">
        <f>VLOOKUP(B25,[4]计算结果表!$B$1:$T$25,16,0)</f>
        <v>2436.262625</v>
      </c>
      <c r="AF25" s="37">
        <f>VLOOKUP(B25,[2]计算结果表!$B$1:$T$25,16,0)</f>
        <v>1756.344959</v>
      </c>
      <c r="AG25" s="13">
        <f t="shared" si="12"/>
        <v>-0.279082254525002</v>
      </c>
      <c r="AH25" s="13">
        <f t="shared" si="13"/>
        <v>0.0675024599406439</v>
      </c>
      <c r="AI25" s="13">
        <f t="shared" si="14"/>
        <v>0.0510016830444</v>
      </c>
      <c r="AJ25" s="24">
        <f>RANK(AI25,$AI$5:$AI$25,1)</f>
        <v>16</v>
      </c>
      <c r="AK25" s="13">
        <f t="shared" si="15"/>
        <v>-0.016500776896244</v>
      </c>
      <c r="AL25" s="22">
        <f>VLOOKUP(B25,'[5]查询结果(2025年2月)'!$A$2:$L$29,12,0)/10000</f>
        <v>2893.820776</v>
      </c>
      <c r="AM25" s="22">
        <f>VLOOKUP(B25,'[3]查询结果(2026年2月)'!$A$2:$L$29,12,0)/10000</f>
        <v>1726.303181</v>
      </c>
      <c r="AN25" s="23">
        <f t="shared" si="16"/>
        <v>-0.403451936167867</v>
      </c>
      <c r="AO25" s="24">
        <f>RANK(AN25,$AN$5:$AN$25,1)</f>
        <v>1</v>
      </c>
      <c r="AP25" s="23">
        <f t="shared" si="17"/>
        <v>0.531484886175845</v>
      </c>
      <c r="AQ25" s="23">
        <f t="shared" si="18"/>
        <v>0.375180424603112</v>
      </c>
      <c r="AR25" s="24">
        <f>RANK(AQ25,$AQ$5:$AQ$25,1)</f>
        <v>20</v>
      </c>
      <c r="AS25" s="44">
        <f>VLOOKUP(B25,'[6]查询结果(2025年2月)'!$A$2:$L$29,12,0)/10000</f>
        <v>1412.994226</v>
      </c>
      <c r="AT25" s="44">
        <f>VLOOKUP(B25,'[7]查询结果(2026年2月)'!$A$2:$H$25,8,0)/10000</f>
        <v>906.679579</v>
      </c>
      <c r="AU25" s="45">
        <f t="shared" si="19"/>
        <v>0.318701662715833</v>
      </c>
      <c r="AV25" s="46">
        <f>RANK(AU25,$AU$5:$AU$25,1)</f>
        <v>20</v>
      </c>
      <c r="AW25" s="51">
        <f t="shared" si="20"/>
        <v>-0.358327470617704</v>
      </c>
      <c r="AX25" s="52">
        <f>RANK(AW25,$AW$5:$AW$25,1)</f>
        <v>2</v>
      </c>
      <c r="AY25" s="22">
        <f>VLOOKUP(B25,[4]计算结果表!$B$1:$T$25,17,0)</f>
        <v>4235.740515</v>
      </c>
      <c r="AZ25" s="22">
        <f>VLOOKUP(B25,[2]计算结果表!$B$1:$T$25,17,0)</f>
        <v>3450.414723</v>
      </c>
      <c r="BA25" s="23">
        <f t="shared" si="21"/>
        <v>-0.18540460380397</v>
      </c>
      <c r="BB25" s="23">
        <f t="shared" si="22"/>
        <v>0.101621355980722</v>
      </c>
      <c r="BC25" s="23">
        <f t="shared" si="23"/>
        <v>0.0849357884639427</v>
      </c>
      <c r="BD25" s="24">
        <f>RANK(BC25,$BC$5:$BC$25,0)</f>
        <v>5</v>
      </c>
      <c r="BE25" s="23">
        <f t="shared" si="24"/>
        <v>-0.0166855675167793</v>
      </c>
      <c r="BF25" s="55">
        <f>VLOOKUP(B25,[4]计算结果表!$B$1:$T$25,9,0)</f>
        <v>45.061715</v>
      </c>
      <c r="BG25" s="56">
        <f>VLOOKUP(B25,[2]计算结果表!$B$1:$T$25,9,0)</f>
        <v>213.574734</v>
      </c>
      <c r="BH25" s="57">
        <f t="shared" si="25"/>
        <v>3.73960509492371</v>
      </c>
      <c r="BI25" s="57">
        <f t="shared" si="26"/>
        <v>0.00827612430814319</v>
      </c>
      <c r="BJ25" s="57">
        <f t="shared" si="27"/>
        <v>0.0464165624373119</v>
      </c>
      <c r="BK25" s="58">
        <f>RANK(BJ25,$BJ$5:$BJ$25,1)</f>
        <v>14</v>
      </c>
      <c r="BL25" s="59">
        <f>VLOOKUP(B25,[8]市州营业收现率202502完成!$B$1:$AH$28,6,0)</f>
        <v>6610.752657</v>
      </c>
      <c r="BM25" s="59">
        <f>VLOOKUP(B25,[9]市州营业收现率2月完成!$B$1:$AI$28,7,0)</f>
        <v>4429.525669</v>
      </c>
      <c r="BN25" s="23">
        <f>VLOOKUP(B25,[8]市州营业收现率202502完成!$B$1:$AH$28,5,0)</f>
        <v>0.977046329962195</v>
      </c>
      <c r="BO25" s="23">
        <f>VLOOKUP(B25,[9]市州营业收现率2月完成!$B$1:$AI$28,5,0)</f>
        <v>0.640663201035014</v>
      </c>
      <c r="BP25" s="58">
        <f>RANK(BO25,$BO$5:$BO$25,0)</f>
        <v>19</v>
      </c>
    </row>
    <row r="26" s="2" customFormat="1" ht="15" customHeight="1" spans="1:68">
      <c r="A26" s="14">
        <v>22</v>
      </c>
      <c r="B26" s="14" t="s">
        <v>86</v>
      </c>
      <c r="C26" s="15">
        <f t="shared" ref="C26:F26" si="28">SUM(C5:C25)</f>
        <v>3051811.98025629</v>
      </c>
      <c r="D26" s="15">
        <f t="shared" si="28"/>
        <v>429644.336208292</v>
      </c>
      <c r="E26" s="15">
        <f t="shared" si="28"/>
        <v>3108676.88710614</v>
      </c>
      <c r="F26" s="15">
        <f t="shared" si="28"/>
        <v>486690.265586706</v>
      </c>
      <c r="G26" s="16"/>
      <c r="H26" s="16"/>
      <c r="I26" s="16">
        <f>SUM(I5:I25)</f>
        <v>236950.89635</v>
      </c>
      <c r="J26" s="16">
        <f>SUM(J5:J25)</f>
        <v>291208.806698</v>
      </c>
      <c r="K26" s="25">
        <f t="shared" si="2"/>
        <v>0.228983773363134</v>
      </c>
      <c r="L26" s="25">
        <f t="shared" si="3"/>
        <v>0.077642691582232</v>
      </c>
      <c r="M26" s="25">
        <f t="shared" si="4"/>
        <v>0.0936761256552095</v>
      </c>
      <c r="N26" s="25"/>
      <c r="O26" s="25">
        <f t="shared" si="5"/>
        <v>0.0160334340729775</v>
      </c>
      <c r="P26" s="16">
        <f>SUM(P5:P25)</f>
        <v>149244.319064</v>
      </c>
      <c r="Q26" s="16">
        <f>SUM(Q5:Q25)</f>
        <v>201488.411954</v>
      </c>
      <c r="R26" s="29">
        <f t="shared" si="6"/>
        <v>0.350057497783861</v>
      </c>
      <c r="S26" s="25">
        <f t="shared" si="7"/>
        <v>0.347367127846057</v>
      </c>
      <c r="T26" s="25">
        <f t="shared" si="8"/>
        <v>0.413997209726612</v>
      </c>
      <c r="U26" s="25"/>
      <c r="V26" s="25">
        <f t="shared" si="9"/>
        <v>0.0666300818805553</v>
      </c>
      <c r="W26" s="30">
        <f t="shared" ref="W26:Z26" si="29">SUM(W5:W25)</f>
        <v>38316.543525</v>
      </c>
      <c r="X26" s="30">
        <f t="shared" si="29"/>
        <v>163171.868429</v>
      </c>
      <c r="Y26" s="30">
        <f t="shared" si="29"/>
        <v>171371.326588</v>
      </c>
      <c r="Z26" s="30">
        <f t="shared" si="29"/>
        <v>256134.060763</v>
      </c>
      <c r="AA26" s="25">
        <f t="shared" si="10"/>
        <v>0.204955513448826</v>
      </c>
      <c r="AB26" s="25"/>
      <c r="AC26" s="25">
        <f t="shared" si="11"/>
        <v>0.583968458864922</v>
      </c>
      <c r="AD26" s="25"/>
      <c r="AE26" s="30">
        <f>SUM(AE5:AE25)</f>
        <v>87706.577286</v>
      </c>
      <c r="AF26" s="30">
        <f>SUM(AF5:AF25)</f>
        <v>89720.394744</v>
      </c>
      <c r="AG26" s="29">
        <f t="shared" si="12"/>
        <v>0.0229608487791422</v>
      </c>
      <c r="AH26" s="25">
        <f t="shared" si="13"/>
        <v>0.0334481197207521</v>
      </c>
      <c r="AI26" s="25">
        <f t="shared" si="14"/>
        <v>0.0342184792277877</v>
      </c>
      <c r="AJ26" s="25"/>
      <c r="AK26" s="25">
        <f t="shared" si="15"/>
        <v>0.000770359507035627</v>
      </c>
      <c r="AL26" s="16">
        <f>SUM(AL5:AL25)</f>
        <v>38767.370306</v>
      </c>
      <c r="AM26" s="16">
        <f>SUM(AM5:AM25)</f>
        <v>58919.518588</v>
      </c>
      <c r="AN26" s="25">
        <f t="shared" si="16"/>
        <v>0.519822420838307</v>
      </c>
      <c r="AO26" s="25"/>
      <c r="AP26" s="25">
        <f t="shared" si="17"/>
        <v>0.163609300083578</v>
      </c>
      <c r="AQ26" s="25">
        <f t="shared" si="18"/>
        <v>0.202327392691468</v>
      </c>
      <c r="AR26" s="25"/>
      <c r="AS26" s="47">
        <f>SUM(AS5:AS25)</f>
        <v>23331.018646</v>
      </c>
      <c r="AT26" s="47">
        <f>SUM(AT5:AT25)</f>
        <v>41407.29608</v>
      </c>
      <c r="AU26" s="48">
        <f t="shared" si="19"/>
        <v>0.205507084394776</v>
      </c>
      <c r="AV26" s="48"/>
      <c r="AW26" s="53">
        <f t="shared" si="20"/>
        <v>0.774774462627207</v>
      </c>
      <c r="AX26" s="53"/>
      <c r="AY26" s="16">
        <f>SUM(AY5:AY25)</f>
        <v>214482.934407</v>
      </c>
      <c r="AZ26" s="16">
        <f>SUM(AZ5:AZ25)</f>
        <v>234672.16034</v>
      </c>
      <c r="BA26" s="29">
        <f t="shared" si="21"/>
        <v>0.0941297543733208</v>
      </c>
      <c r="BB26" s="25">
        <f t="shared" si="22"/>
        <v>0.0702805204890072</v>
      </c>
      <c r="BC26" s="25">
        <f t="shared" si="23"/>
        <v>0.0754894023606474</v>
      </c>
      <c r="BD26" s="25"/>
      <c r="BE26" s="25">
        <f t="shared" si="24"/>
        <v>0.00520888187164018</v>
      </c>
      <c r="BF26" s="60">
        <f>SUM(BF5:BF25)</f>
        <v>4070.329565</v>
      </c>
      <c r="BG26" s="60">
        <f>SUM(BG5:BG25)</f>
        <v>11759.654047</v>
      </c>
      <c r="BH26" s="61">
        <f t="shared" si="25"/>
        <v>1.88911594484119</v>
      </c>
      <c r="BI26" s="61">
        <f t="shared" si="26"/>
        <v>0.0171779454211801</v>
      </c>
      <c r="BJ26" s="61">
        <f t="shared" si="27"/>
        <v>0.0403822060889643</v>
      </c>
      <c r="BK26" s="62"/>
      <c r="BL26" s="59">
        <f>VLOOKUP(B26,[8]市州营业收现率202502完成!$B$1:$AH$28,6,0)</f>
        <v>447538.882243</v>
      </c>
      <c r="BM26" s="59">
        <f>VLOOKUP(B26,[9]市州营业收现率2月完成!$B$1:$AI$28,7,0)</f>
        <v>458096.643821</v>
      </c>
      <c r="BN26" s="23">
        <f>VLOOKUP(B26,[8]市州营业收现率202502完成!$B$1:$AH$28,5,0)</f>
        <v>0.845162314392028</v>
      </c>
      <c r="BO26" s="23">
        <f>VLOOKUP(B26,[9]市州营业收现率2月完成!$B$1:$AI$28,5,0)</f>
        <v>0.919373106466807</v>
      </c>
      <c r="BP26" s="62"/>
    </row>
    <row r="28" spans="32:58"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</row>
  </sheetData>
  <mergeCells count="80">
    <mergeCell ref="A1:BP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K2"/>
    <mergeCell ref="BL2:BP2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</mergeCells>
  <conditionalFormatting sqref="AI26:AJ26">
    <cfRule type="top10" dxfId="0" priority="14" rank="5"/>
  </conditionalFormatting>
  <conditionalFormatting sqref="K5:K25">
    <cfRule type="top10" dxfId="0" priority="12" rank="5"/>
  </conditionalFormatting>
  <conditionalFormatting sqref="R5:R25">
    <cfRule type="top10" dxfId="0" priority="10" rank="5"/>
  </conditionalFormatting>
  <conditionalFormatting sqref="U5:U25">
    <cfRule type="top10" dxfId="0" priority="5" rank="5"/>
  </conditionalFormatting>
  <conditionalFormatting sqref="BA5:BA25">
    <cfRule type="top10" dxfId="0" priority="9" bottom="1" rank="5"/>
  </conditionalFormatting>
  <conditionalFormatting sqref="BN5:BN26">
    <cfRule type="top10" dxfId="0" priority="2" bottom="1" rank="5"/>
  </conditionalFormatting>
  <conditionalFormatting sqref="BO5:BO26">
    <cfRule type="top10" dxfId="0" priority="1" bottom="1" rank="5"/>
  </conditionalFormatting>
  <conditionalFormatting sqref="M5:N25">
    <cfRule type="top10" dxfId="0" priority="8" rank="5"/>
  </conditionalFormatting>
  <conditionalFormatting sqref="T26:U26 T5:T25">
    <cfRule type="top10" dxfId="0" priority="13" rank="5"/>
  </conditionalFormatting>
  <conditionalFormatting sqref="AB26 AA5:AA26">
    <cfRule type="top10" dxfId="0" priority="4" rank="5"/>
  </conditionalFormatting>
  <conditionalFormatting sqref="AD26 AC5:AC26">
    <cfRule type="top10" dxfId="0" priority="3" rank="5"/>
  </conditionalFormatting>
  <conditionalFormatting sqref="AN5:AO25">
    <cfRule type="top10" dxfId="0" priority="11" rank="5"/>
  </conditionalFormatting>
  <conditionalFormatting sqref="AQ5:AR25">
    <cfRule type="top10" dxfId="0" priority="7" rank="5"/>
  </conditionalFormatting>
  <conditionalFormatting sqref="BC5:BD25">
    <cfRule type="top10" dxfId="0" priority="6" bottom="1" rank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四川分公司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admin</cp:lastModifiedBy>
  <dcterms:created xsi:type="dcterms:W3CDTF">2026-03-10T03:18:00Z</dcterms:created>
  <dcterms:modified xsi:type="dcterms:W3CDTF">2026-03-26T02:33:47Z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11961169A36243BFBF7045B0F97E7B29</vt:lpwstr>
  </property>
  <property fmtid="{D5CDD505-2E9C-101B-9397-08002B2CF9AE}" pid="3" name="KSOProductBuildVer">
    <vt:lpwstr>2052-12.8.2.15091</vt:lpwstr>
  </property>
</Properties>
</file>