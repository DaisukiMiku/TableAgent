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2025年12月 " sheetId="13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'2025年12月 '!$A$4:$BJ$26</definedName>
  </definedNames>
  <calcPr calcId="144525" concurrentCalc="0"/>
</workbook>
</file>

<file path=xl/sharedStrings.xml><?xml version="1.0" encoding="utf-8"?>
<sst xmlns="http://schemas.openxmlformats.org/spreadsheetml/2006/main" count="95" uniqueCount="82">
  <si>
    <t>2025年12月市州应收账款情况表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</si>
  <si>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</si>
  <si>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</si>
  <si>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</si>
  <si>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</si>
  <si>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</si>
  <si>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</si>
  <si>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</si>
  <si>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</si>
  <si>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</si>
  <si>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</si>
  <si>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</si>
  <si>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</si>
  <si>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</si>
  <si>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</si>
  <si>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</si>
  <si>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</si>
  <si>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</si>
  <si>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</si>
  <si>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202412
应收总额</t>
  </si>
  <si>
    <t>202512
应收总额</t>
  </si>
  <si>
    <t>应收总额同比增幅</t>
  </si>
  <si>
    <t>202412
占收比</t>
  </si>
  <si>
    <t>202512
占收比</t>
  </si>
  <si>
    <t>排名</t>
  </si>
  <si>
    <t>占收比同比</t>
  </si>
  <si>
    <t>202412
应收产数</t>
  </si>
  <si>
    <t>202512
应收产数</t>
  </si>
  <si>
    <t>产数应收账款增幅</t>
  </si>
  <si>
    <t>202412
产数占收比</t>
  </si>
  <si>
    <t>202512
产数占收比</t>
  </si>
  <si>
    <t>产数占收比同比</t>
  </si>
  <si>
    <t>202512资源型应收账款总额</t>
  </si>
  <si>
    <t>202512产数ICT应收账款总额</t>
  </si>
  <si>
    <t>202512资源型收入（剔除云锦IDC收入）</t>
  </si>
  <si>
    <t>202512产数ICT收入</t>
  </si>
  <si>
    <t>202512资源型应收占收比</t>
  </si>
  <si>
    <t>202512产数ICT应收占收比</t>
  </si>
  <si>
    <t>202412
基础应收</t>
  </si>
  <si>
    <t>202512
基础应收</t>
  </si>
  <si>
    <t>基础应收同比增幅</t>
  </si>
  <si>
    <t>202412
基础占收比</t>
  </si>
  <si>
    <t>202512
基础占收比</t>
  </si>
  <si>
    <t>基础占收比同比</t>
  </si>
  <si>
    <t>202412
一年以上应收</t>
  </si>
  <si>
    <t>202512
一年以上应收</t>
  </si>
  <si>
    <t>一年以上同比增幅</t>
  </si>
  <si>
    <t>202412
一年以上占应收总额比</t>
  </si>
  <si>
    <t>202512
一年以上占应收总额比</t>
  </si>
  <si>
    <t>202412一年以上产数应收</t>
  </si>
  <si>
    <t>202512一年以上产数应收</t>
  </si>
  <si>
    <t>202512一年以上产数应收账款结构占比</t>
  </si>
  <si>
    <t>202512一年以上产数应收同比增幅</t>
  </si>
  <si>
    <t>202412
预收账款总额</t>
  </si>
  <si>
    <t>202512
预收账款总额</t>
  </si>
  <si>
    <t>同比增幅</t>
  </si>
  <si>
    <t>202412经营活动现金流入完成</t>
  </si>
  <si>
    <t>202512经营活动现金流入完成</t>
  </si>
  <si>
    <t>202412营业收现率</t>
  </si>
  <si>
    <t>202512营业收现率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</si>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</sst>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000_);_([$€-2]* \(#,##0.00000\);_([$€-2]* &quot;-&quot;??_)"/>
    <numFmt numFmtId="177" formatCode="_ * #,##0_ ;_ * \-#,##0_ ;_ * &quot;-&quot;??_ ;_ @_ "/>
    <numFmt numFmtId="178" formatCode="#,##0_ ;[Red]\-#,##0\ "/>
    <numFmt numFmtId="179" formatCode="#,##0_ "/>
    <numFmt numFmtId="180" formatCode="0_ "/>
    <numFmt numFmtId="181" formatCode="0.0%"/>
  </numFmts>
  <fonts count="3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>
      <alignment vertical="center"/>
    </xf>
    <xf numFmtId="0" fontId="3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29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50" applyAlignment="1">
      <alignment horizontal="center" vertical="center"/>
    </xf>
    <xf numFmtId="0" fontId="1" fillId="0" borderId="0" xfId="50" applyFont="1" applyAlignment="1">
      <alignment horizontal="center" vertical="center"/>
    </xf>
    <xf numFmtId="0" fontId="0" fillId="0" borderId="0" xfId="50">
      <alignment vertical="center"/>
    </xf>
    <xf numFmtId="177" fontId="0" fillId="0" borderId="0" xfId="56" applyNumberFormat="1" applyFont="1">
      <alignment vertical="center"/>
    </xf>
    <xf numFmtId="0" fontId="2" fillId="2" borderId="1" xfId="50" applyFont="1" applyFill="1" applyBorder="1" applyAlignment="1">
      <alignment horizontal="center" vertical="center"/>
    </xf>
    <xf numFmtId="178" fontId="3" fillId="2" borderId="1" xfId="50" applyNumberFormat="1" applyFont="1" applyFill="1" applyBorder="1" applyAlignment="1">
      <alignment horizontal="center" vertical="center" wrapText="1"/>
    </xf>
    <xf numFmtId="178" fontId="3" fillId="2" borderId="2" xfId="50" applyNumberFormat="1" applyFont="1" applyFill="1" applyBorder="1" applyAlignment="1">
      <alignment horizontal="center" vertical="center" wrapText="1"/>
    </xf>
    <xf numFmtId="178" fontId="3" fillId="2" borderId="3" xfId="50" applyNumberFormat="1" applyFont="1" applyFill="1" applyBorder="1" applyAlignment="1">
      <alignment horizontal="center" vertical="center" wrapText="1"/>
    </xf>
    <xf numFmtId="178" fontId="3" fillId="2" borderId="4" xfId="50" applyNumberFormat="1" applyFont="1" applyFill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/>
    </xf>
    <xf numFmtId="179" fontId="4" fillId="0" borderId="1" xfId="50" applyNumberFormat="1" applyFont="1" applyBorder="1" applyAlignment="1">
      <alignment horizontal="center" vertical="center"/>
    </xf>
    <xf numFmtId="177" fontId="5" fillId="0" borderId="1" xfId="50" applyNumberFormat="1" applyFont="1" applyBorder="1" applyAlignment="1">
      <alignment horizontal="center" vertical="center"/>
    </xf>
    <xf numFmtId="10" fontId="4" fillId="0" borderId="1" xfId="3" applyNumberFormat="1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/>
    </xf>
    <xf numFmtId="179" fontId="6" fillId="0" borderId="1" xfId="50" applyNumberFormat="1" applyFont="1" applyBorder="1" applyAlignment="1">
      <alignment horizontal="center" vertical="center"/>
    </xf>
    <xf numFmtId="0" fontId="7" fillId="2" borderId="1" xfId="50" applyFont="1" applyFill="1" applyBorder="1" applyAlignment="1">
      <alignment horizontal="center" vertical="center"/>
    </xf>
    <xf numFmtId="0" fontId="7" fillId="2" borderId="1" xfId="55" applyFont="1" applyFill="1" applyBorder="1" applyAlignment="1">
      <alignment horizontal="center" vertical="center"/>
    </xf>
    <xf numFmtId="0" fontId="4" fillId="3" borderId="1" xfId="50" applyFont="1" applyFill="1" applyBorder="1" applyAlignment="1">
      <alignment horizontal="center" vertical="center" wrapText="1"/>
    </xf>
    <xf numFmtId="0" fontId="4" fillId="2" borderId="1" xfId="50" applyFont="1" applyFill="1" applyBorder="1" applyAlignment="1">
      <alignment horizontal="center" vertical="center" wrapText="1"/>
    </xf>
    <xf numFmtId="0" fontId="6" fillId="4" borderId="1" xfId="50" applyFont="1" applyFill="1" applyBorder="1" applyAlignment="1">
      <alignment horizontal="center" vertical="center" wrapText="1"/>
    </xf>
    <xf numFmtId="179" fontId="4" fillId="5" borderId="1" xfId="50" applyNumberFormat="1" applyFont="1" applyFill="1" applyBorder="1" applyAlignment="1">
      <alignment horizontal="center" vertical="center"/>
    </xf>
    <xf numFmtId="10" fontId="4" fillId="0" borderId="1" xfId="50" applyNumberFormat="1" applyFont="1" applyBorder="1" applyAlignment="1">
      <alignment horizontal="center" vertical="center"/>
    </xf>
    <xf numFmtId="177" fontId="4" fillId="0" borderId="1" xfId="54" applyNumberFormat="1" applyFont="1" applyBorder="1" applyAlignment="1">
      <alignment horizontal="center" vertical="center"/>
    </xf>
    <xf numFmtId="10" fontId="6" fillId="0" borderId="1" xfId="50" applyNumberFormat="1" applyFont="1" applyBorder="1" applyAlignment="1">
      <alignment horizontal="center" vertical="center"/>
    </xf>
    <xf numFmtId="177" fontId="8" fillId="4" borderId="2" xfId="56" applyNumberFormat="1" applyFont="1" applyFill="1" applyBorder="1" applyAlignment="1">
      <alignment horizontal="center" vertical="center" wrapText="1"/>
    </xf>
    <xf numFmtId="177" fontId="8" fillId="4" borderId="3" xfId="56" applyNumberFormat="1" applyFont="1" applyFill="1" applyBorder="1" applyAlignment="1">
      <alignment horizontal="center" vertical="center"/>
    </xf>
    <xf numFmtId="177" fontId="4" fillId="2" borderId="5" xfId="56" applyNumberFormat="1" applyFont="1" applyFill="1" applyBorder="1" applyAlignment="1">
      <alignment horizontal="center" vertical="center" wrapText="1"/>
    </xf>
    <xf numFmtId="177" fontId="4" fillId="2" borderId="6" xfId="56" applyNumberFormat="1" applyFont="1" applyFill="1" applyBorder="1" applyAlignment="1">
      <alignment horizontal="center" vertical="center" wrapText="1"/>
    </xf>
    <xf numFmtId="177" fontId="4" fillId="0" borderId="1" xfId="56" applyNumberFormat="1" applyFont="1" applyBorder="1" applyAlignment="1">
      <alignment horizontal="center" vertical="center"/>
    </xf>
    <xf numFmtId="10" fontId="6" fillId="6" borderId="1" xfId="50" applyNumberFormat="1" applyFont="1" applyFill="1" applyBorder="1" applyAlignment="1">
      <alignment horizontal="center" vertical="center"/>
    </xf>
    <xf numFmtId="180" fontId="6" fillId="0" borderId="1" xfId="50" applyNumberFormat="1" applyFont="1" applyBorder="1" applyAlignment="1">
      <alignment horizontal="center" vertical="center"/>
    </xf>
    <xf numFmtId="177" fontId="8" fillId="4" borderId="4" xfId="56" applyNumberFormat="1" applyFont="1" applyFill="1" applyBorder="1" applyAlignment="1">
      <alignment horizontal="center" vertical="center"/>
    </xf>
    <xf numFmtId="0" fontId="4" fillId="2" borderId="5" xfId="50" applyFont="1" applyFill="1" applyBorder="1" applyAlignment="1">
      <alignment horizontal="center" vertical="center" wrapText="1"/>
    </xf>
    <xf numFmtId="0" fontId="4" fillId="2" borderId="6" xfId="50" applyFont="1" applyFill="1" applyBorder="1" applyAlignment="1">
      <alignment horizontal="center" vertical="center" wrapText="1"/>
    </xf>
    <xf numFmtId="180" fontId="4" fillId="5" borderId="1" xfId="50" applyNumberFormat="1" applyFont="1" applyFill="1" applyBorder="1" applyAlignment="1">
      <alignment horizontal="center" vertical="center"/>
    </xf>
    <xf numFmtId="3" fontId="0" fillId="0" borderId="0" xfId="50" applyNumberFormat="1">
      <alignment vertical="center"/>
    </xf>
    <xf numFmtId="0" fontId="7" fillId="2" borderId="2" xfId="50" applyFont="1" applyFill="1" applyBorder="1" applyAlignment="1">
      <alignment horizontal="center" vertical="center"/>
    </xf>
    <xf numFmtId="0" fontId="7" fillId="2" borderId="3" xfId="50" applyFont="1" applyFill="1" applyBorder="1" applyAlignment="1">
      <alignment horizontal="center" vertical="center"/>
    </xf>
    <xf numFmtId="0" fontId="7" fillId="2" borderId="4" xfId="50" applyFont="1" applyFill="1" applyBorder="1" applyAlignment="1">
      <alignment horizontal="center" vertical="center"/>
    </xf>
    <xf numFmtId="0" fontId="7" fillId="2" borderId="2" xfId="55" applyFont="1" applyFill="1" applyBorder="1" applyAlignment="1">
      <alignment horizontal="center" vertical="center"/>
    </xf>
    <xf numFmtId="0" fontId="7" fillId="2" borderId="3" xfId="55" applyFont="1" applyFill="1" applyBorder="1" applyAlignment="1">
      <alignment horizontal="center" vertical="center"/>
    </xf>
    <xf numFmtId="177" fontId="5" fillId="5" borderId="1" xfId="50" applyNumberFormat="1" applyFont="1" applyFill="1" applyBorder="1" applyAlignment="1">
      <alignment horizontal="center" vertical="center"/>
    </xf>
    <xf numFmtId="181" fontId="5" fillId="0" borderId="1" xfId="3" applyNumberFormat="1" applyFont="1" applyFill="1" applyBorder="1" applyAlignment="1">
      <alignment horizontal="center" vertical="center"/>
    </xf>
    <xf numFmtId="177" fontId="5" fillId="0" borderId="1" xfId="54" applyNumberFormat="1" applyFont="1" applyFill="1" applyBorder="1" applyAlignment="1">
      <alignment horizontal="center" vertical="center"/>
    </xf>
    <xf numFmtId="177" fontId="9" fillId="0" borderId="1" xfId="50" applyNumberFormat="1" applyFont="1" applyBorder="1" applyAlignment="1">
      <alignment horizontal="center" vertical="center"/>
    </xf>
    <xf numFmtId="181" fontId="9" fillId="0" borderId="1" xfId="3" applyNumberFormat="1" applyFont="1" applyFill="1" applyBorder="1" applyAlignment="1">
      <alignment horizontal="center" vertical="center"/>
    </xf>
    <xf numFmtId="0" fontId="7" fillId="2" borderId="4" xfId="55" applyFont="1" applyFill="1" applyBorder="1" applyAlignment="1">
      <alignment horizontal="center" vertical="center"/>
    </xf>
    <xf numFmtId="0" fontId="4" fillId="2" borderId="1" xfId="55" applyFont="1" applyFill="1" applyBorder="1" applyAlignment="1">
      <alignment horizontal="center" vertical="center" wrapText="1"/>
    </xf>
    <xf numFmtId="181" fontId="5" fillId="0" borderId="1" xfId="3" applyNumberFormat="1" applyFont="1" applyBorder="1" applyAlignment="1">
      <alignment horizontal="center" vertical="center"/>
    </xf>
    <xf numFmtId="177" fontId="5" fillId="0" borderId="1" xfId="54" applyNumberFormat="1" applyFont="1" applyBorder="1" applyAlignment="1">
      <alignment vertical="center"/>
    </xf>
    <xf numFmtId="181" fontId="9" fillId="0" borderId="1" xfId="3" applyNumberFormat="1" applyFont="1" applyBorder="1" applyAlignment="1">
      <alignment horizontal="center" vertical="center"/>
    </xf>
    <xf numFmtId="0" fontId="7" fillId="4" borderId="1" xfId="55" applyFont="1" applyFill="1" applyBorder="1" applyAlignment="1">
      <alignment horizontal="center" vertical="center"/>
    </xf>
    <xf numFmtId="176" fontId="4" fillId="7" borderId="1" xfId="57" applyFont="1" applyFill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/>
    </xf>
    <xf numFmtId="177" fontId="6" fillId="0" borderId="1" xfId="56" applyNumberFormat="1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6" xfId="50"/>
    <cellStyle name="常规 2" xfId="51"/>
    <cellStyle name="常规 3" xfId="52"/>
    <cellStyle name="常规 4" xfId="53"/>
    <cellStyle name="千位分隔 2" xfId="54"/>
    <cellStyle name="常规 5" xfId="55"/>
    <cellStyle name="千位分隔 3" xfId="56"/>
    <cellStyle name="常规 4 3" xfId="5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12&#26376;&#36164;&#37329;&#36890;&#25253;\2025&#24180;12&#26376;&#36134;&#40836;&#25968;&#25454;&#34920;\202512&#24212;&#25910;&#36134;&#27454;&#36134;&#40836;&#20998;&#26512;&#24635;&#34920;%20(&#27719;&#24635;&#34920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12&#26376;&#36164;&#37329;&#36890;&#25253;\2025&#24180;12&#26376;&#31185;&#30446;&#20313;&#39069;&#34920;V2.1.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12&#26376;&#36164;&#37329;&#36890;&#25253;\2024&#24180;12&#26376;&#31185;&#30446;&#20313;&#39069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12&#26376;&#36164;&#37329;&#36890;&#25253;\&#38598;&#22242;&#22806;&#33829;&#19994;&#25910;&#29616;&#29575;-2025.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12&#26376;&#36164;&#37329;&#36890;&#25253;\&#38598;&#22242;&#22806;&#33829;&#19994;&#25910;&#29616;&#29575;-2024.1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12&#26376;&#36164;&#37329;&#36890;&#25253;\2025&#24180;&#30465;&#24066;&#24030;&#24212;&#25910;&#36134;&#27454;&#24773;&#20917;&#34920;1-12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成都"/>
      <sheetName val="自贡"/>
      <sheetName val="攀枝花"/>
      <sheetName val="泸州"/>
      <sheetName val="德阳"/>
      <sheetName val="绵阳"/>
      <sheetName val="广元"/>
      <sheetName val="遂宁"/>
      <sheetName val="内江"/>
      <sheetName val="乐山"/>
      <sheetName val="南充"/>
      <sheetName val="眉山"/>
      <sheetName val="宜宾"/>
      <sheetName val="广安"/>
      <sheetName val="达州"/>
      <sheetName val="雅安"/>
      <sheetName val="巴中"/>
      <sheetName val="资阳"/>
      <sheetName val="阿坝"/>
      <sheetName val="甘孜"/>
      <sheetName val="凉山"/>
      <sheetName val="省本部"/>
      <sheetName val="Sheet2"/>
    </sheetNames>
    <sheetDataSet>
      <sheetData sheetId="0">
        <row r="28">
          <cell r="B28" t="str">
            <v>单位</v>
          </cell>
          <cell r="C28" t="str">
            <v>应收产数</v>
          </cell>
        </row>
        <row r="28">
          <cell r="E28" t="str">
            <v>应收总额 </v>
          </cell>
        </row>
        <row r="29">
          <cell r="C29" t="str">
            <v>一年以上</v>
          </cell>
          <cell r="D29" t="str">
            <v>6个月以上</v>
          </cell>
          <cell r="E29" t="str">
            <v>一年以上</v>
          </cell>
          <cell r="F29" t="str">
            <v>6个月以上</v>
          </cell>
        </row>
        <row r="30">
          <cell r="B30" t="str">
            <v>成都</v>
          </cell>
          <cell r="C30">
            <v>9565.440423</v>
          </cell>
          <cell r="D30">
            <v>15236.275232</v>
          </cell>
          <cell r="E30">
            <v>15814.297999</v>
          </cell>
          <cell r="F30">
            <v>22987.128266</v>
          </cell>
        </row>
        <row r="31">
          <cell r="B31" t="str">
            <v>自贡</v>
          </cell>
          <cell r="C31">
            <v>1197.879527</v>
          </cell>
          <cell r="D31">
            <v>3907.422282</v>
          </cell>
          <cell r="E31">
            <v>1433.23532</v>
          </cell>
          <cell r="F31">
            <v>4227.976291</v>
          </cell>
        </row>
        <row r="32">
          <cell r="B32" t="str">
            <v>攀枝花</v>
          </cell>
          <cell r="C32">
            <v>829.561597</v>
          </cell>
          <cell r="D32">
            <v>1131.715518</v>
          </cell>
          <cell r="E32">
            <v>1635.439677</v>
          </cell>
          <cell r="F32">
            <v>2044.838823</v>
          </cell>
        </row>
        <row r="33">
          <cell r="B33" t="str">
            <v>泸州</v>
          </cell>
          <cell r="C33">
            <v>1091.912998</v>
          </cell>
          <cell r="D33">
            <v>2196.299703</v>
          </cell>
          <cell r="E33">
            <v>2113.86365</v>
          </cell>
          <cell r="F33">
            <v>3602.465351</v>
          </cell>
        </row>
        <row r="34">
          <cell r="B34" t="str">
            <v>德阳</v>
          </cell>
          <cell r="C34">
            <v>1120.167513</v>
          </cell>
          <cell r="D34">
            <v>3556.678994</v>
          </cell>
          <cell r="E34">
            <v>1445.240569</v>
          </cell>
          <cell r="F34">
            <v>4407.401705</v>
          </cell>
        </row>
        <row r="35">
          <cell r="B35" t="str">
            <v>绵阳</v>
          </cell>
          <cell r="C35">
            <v>1055.006141</v>
          </cell>
          <cell r="D35">
            <v>2315.57914</v>
          </cell>
          <cell r="E35">
            <v>1675.261508</v>
          </cell>
          <cell r="F35">
            <v>3138.310426</v>
          </cell>
        </row>
        <row r="36">
          <cell r="B36" t="str">
            <v>广元</v>
          </cell>
          <cell r="C36">
            <v>593.190114</v>
          </cell>
          <cell r="D36">
            <v>1516.224058</v>
          </cell>
          <cell r="E36">
            <v>947.56742</v>
          </cell>
          <cell r="F36">
            <v>2281.921079</v>
          </cell>
        </row>
        <row r="37">
          <cell r="B37" t="str">
            <v>遂宁</v>
          </cell>
          <cell r="C37">
            <v>754.056608</v>
          </cell>
          <cell r="D37">
            <v>2209.430655</v>
          </cell>
          <cell r="E37">
            <v>975.374586</v>
          </cell>
          <cell r="F37">
            <v>2519.679926</v>
          </cell>
        </row>
        <row r="38">
          <cell r="B38" t="str">
            <v>内江</v>
          </cell>
          <cell r="C38">
            <v>721.19031</v>
          </cell>
          <cell r="D38">
            <v>1280.837343</v>
          </cell>
          <cell r="E38">
            <v>977.283538</v>
          </cell>
          <cell r="F38">
            <v>1619.379449</v>
          </cell>
        </row>
        <row r="39">
          <cell r="B39" t="str">
            <v>乐山</v>
          </cell>
          <cell r="C39">
            <v>2845.818278</v>
          </cell>
          <cell r="D39">
            <v>4999.811221</v>
          </cell>
          <cell r="E39">
            <v>3297.288215</v>
          </cell>
          <cell r="F39">
            <v>5719.831877</v>
          </cell>
        </row>
        <row r="40">
          <cell r="B40" t="str">
            <v>南充</v>
          </cell>
          <cell r="C40">
            <v>2420.843334</v>
          </cell>
          <cell r="D40">
            <v>5729.023649</v>
          </cell>
          <cell r="E40">
            <v>2929.769613</v>
          </cell>
          <cell r="F40">
            <v>7045.963457</v>
          </cell>
        </row>
        <row r="41">
          <cell r="B41" t="str">
            <v>眉山</v>
          </cell>
          <cell r="C41">
            <v>497.568315</v>
          </cell>
          <cell r="D41">
            <v>1796.358217</v>
          </cell>
          <cell r="E41">
            <v>697.490636</v>
          </cell>
          <cell r="F41">
            <v>2360.539544</v>
          </cell>
        </row>
        <row r="42">
          <cell r="B42" t="str">
            <v>宜宾</v>
          </cell>
          <cell r="C42">
            <v>902.161108</v>
          </cell>
          <cell r="D42">
            <v>3537.636852</v>
          </cell>
          <cell r="E42">
            <v>1332.585134</v>
          </cell>
          <cell r="F42">
            <v>4595.59484</v>
          </cell>
        </row>
        <row r="43">
          <cell r="B43" t="str">
            <v>广安</v>
          </cell>
          <cell r="C43">
            <v>906.123423</v>
          </cell>
          <cell r="D43">
            <v>3548.717493</v>
          </cell>
          <cell r="E43">
            <v>1146.961716</v>
          </cell>
          <cell r="F43">
            <v>4353.28707</v>
          </cell>
        </row>
        <row r="44">
          <cell r="B44" t="str">
            <v>达州</v>
          </cell>
          <cell r="C44">
            <v>3214.860309</v>
          </cell>
          <cell r="D44">
            <v>4571.280911</v>
          </cell>
          <cell r="E44">
            <v>4332.746957</v>
          </cell>
          <cell r="F44">
            <v>6381.443754</v>
          </cell>
        </row>
        <row r="45">
          <cell r="B45" t="str">
            <v>雅安</v>
          </cell>
          <cell r="C45">
            <v>179.540369</v>
          </cell>
          <cell r="D45">
            <v>467.021027</v>
          </cell>
          <cell r="E45">
            <v>302.866914</v>
          </cell>
          <cell r="F45">
            <v>655.1863</v>
          </cell>
        </row>
        <row r="46">
          <cell r="B46" t="str">
            <v>巴中</v>
          </cell>
          <cell r="C46">
            <v>2850.251941</v>
          </cell>
          <cell r="D46">
            <v>4413.213983</v>
          </cell>
          <cell r="E46">
            <v>3768.07712</v>
          </cell>
          <cell r="F46">
            <v>5873.566479</v>
          </cell>
        </row>
        <row r="47">
          <cell r="B47" t="str">
            <v>资阳</v>
          </cell>
          <cell r="C47">
            <v>447.954282</v>
          </cell>
          <cell r="D47">
            <v>1196.263585</v>
          </cell>
          <cell r="E47">
            <v>688.799584</v>
          </cell>
          <cell r="F47">
            <v>1555.050205</v>
          </cell>
        </row>
        <row r="48">
          <cell r="B48" t="str">
            <v>阿坝</v>
          </cell>
          <cell r="C48">
            <v>337.461002</v>
          </cell>
          <cell r="D48">
            <v>926.400409</v>
          </cell>
          <cell r="E48">
            <v>894.298962</v>
          </cell>
          <cell r="F48">
            <v>1624.683459</v>
          </cell>
        </row>
        <row r="49">
          <cell r="B49" t="str">
            <v>甘孜</v>
          </cell>
          <cell r="C49">
            <v>645.257695</v>
          </cell>
          <cell r="D49">
            <v>1853.272781</v>
          </cell>
          <cell r="E49">
            <v>1083.155936</v>
          </cell>
          <cell r="F49">
            <v>2521.785877</v>
          </cell>
        </row>
        <row r="50">
          <cell r="B50" t="str">
            <v>凉山</v>
          </cell>
          <cell r="C50">
            <v>1809.440535</v>
          </cell>
          <cell r="D50">
            <v>3518.478882</v>
          </cell>
          <cell r="E50">
            <v>2225.915594</v>
          </cell>
          <cell r="F50">
            <v>4193.976943</v>
          </cell>
        </row>
        <row r="51">
          <cell r="B51" t="str">
            <v>省公司本部（倒减）</v>
          </cell>
          <cell r="C51">
            <v>1116.487961</v>
          </cell>
          <cell r="D51">
            <v>7897.88791099998</v>
          </cell>
          <cell r="E51">
            <v>2101.37877799999</v>
          </cell>
          <cell r="F51">
            <v>10701.52129</v>
          </cell>
        </row>
        <row r="52">
          <cell r="B52" t="str">
            <v>股份公司总计</v>
          </cell>
          <cell r="C52">
            <v>35102.173783</v>
          </cell>
          <cell r="D52">
            <v>77805.829846</v>
          </cell>
          <cell r="E52">
            <v>51818.899426</v>
          </cell>
          <cell r="F52">
            <v>104411.532411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计算结果表"/>
      <sheetName val="1.5"/>
      <sheetName val="1.16"/>
      <sheetName val="1.20"/>
      <sheetName val="1.21（13账期）"/>
      <sheetName val="1.21（14账期）"/>
      <sheetName val="1.21（15账期）"/>
    </sheetNames>
    <sheetDataSet>
      <sheetData sheetId="0"/>
      <sheetData sheetId="1">
        <row r="1">
          <cell r="C1" t="str">
            <v>应收账款</v>
          </cell>
          <cell r="D1" t="str">
            <v>应收票据</v>
          </cell>
          <cell r="E1" t="str">
            <v>合同资产</v>
          </cell>
          <cell r="F1" t="str">
            <v>合同资产.产业数字化业务</v>
          </cell>
        </row>
        <row r="1">
          <cell r="H1" t="str">
            <v>营业款结算</v>
          </cell>
          <cell r="I1" t="str">
            <v>坏账</v>
          </cell>
          <cell r="J1" t="str">
            <v>信用减值损失</v>
          </cell>
          <cell r="K1" t="str">
            <v>产数应收</v>
          </cell>
          <cell r="L1" t="str">
            <v>预收账款(取负号）</v>
          </cell>
          <cell r="M1" t="str">
            <v>合同负债（取负号）</v>
          </cell>
          <cell r="N1" t="str">
            <v>应收账款总额</v>
          </cell>
          <cell r="O1" t="str">
            <v>应收账款净额</v>
          </cell>
          <cell r="P1" t="str">
            <v>产数应收总额</v>
          </cell>
          <cell r="Q1" t="str">
            <v>基础应收</v>
          </cell>
          <cell r="R1" t="str">
            <v>预收账款</v>
          </cell>
        </row>
        <row r="1">
          <cell r="W1" t="str">
            <v>IDC业务款</v>
          </cell>
          <cell r="X1" t="str">
            <v>数字平台及集成业务款</v>
          </cell>
          <cell r="Y1" t="str">
            <v>组网专线业务款</v>
          </cell>
          <cell r="Z1" t="str">
            <v>其他</v>
          </cell>
        </row>
        <row r="2">
          <cell r="C2" t="str">
            <v>1122*</v>
          </cell>
          <cell r="D2" t="str">
            <v>1121*</v>
          </cell>
          <cell r="E2" t="str">
            <v>1126*</v>
          </cell>
          <cell r="F2">
            <v>1126010000</v>
          </cell>
          <cell r="G2">
            <v>1126020000</v>
          </cell>
          <cell r="H2" t="str">
            <v>1124*</v>
          </cell>
          <cell r="I2" t="str">
            <v>1231*</v>
          </cell>
          <cell r="J2" t="str">
            <v>6702*</v>
          </cell>
          <cell r="K2" t="str">
            <v>112203*</v>
          </cell>
          <cell r="L2" t="str">
            <v>2203*</v>
          </cell>
          <cell r="M2" t="str">
            <v>2204*</v>
          </cell>
        </row>
        <row r="2">
          <cell r="W2" t="str">
            <v>1122030100</v>
          </cell>
          <cell r="X2" t="str">
            <v>1122030200</v>
          </cell>
          <cell r="Y2" t="str">
            <v>1122030300</v>
          </cell>
          <cell r="Z2" t="str">
            <v>1122039900</v>
          </cell>
        </row>
        <row r="3">
          <cell r="B3" t="str">
            <v>省公司本部</v>
          </cell>
          <cell r="C3">
            <v>50555.975153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5161.541414</v>
          </cell>
          <cell r="I3">
            <v>-6491.954148</v>
          </cell>
          <cell r="J3">
            <v>1977.428475</v>
          </cell>
          <cell r="K3">
            <v>33365.373776</v>
          </cell>
          <cell r="L3">
            <v>2221.460421</v>
          </cell>
          <cell r="M3">
            <v>1160.357049</v>
          </cell>
          <cell r="N3">
            <v>55717.516567</v>
          </cell>
          <cell r="O3">
            <v>44064.021005</v>
          </cell>
          <cell r="P3">
            <v>33365.373776</v>
          </cell>
          <cell r="Q3">
            <v>22352.142791</v>
          </cell>
          <cell r="R3">
            <v>3381.81747</v>
          </cell>
        </row>
        <row r="3">
          <cell r="V3" t="str">
            <v>省公司本部</v>
          </cell>
          <cell r="W3">
            <v>29610.631751</v>
          </cell>
          <cell r="X3">
            <v>1102.231622</v>
          </cell>
          <cell r="Y3">
            <v>2493.044403</v>
          </cell>
          <cell r="Z3">
            <v>159.466</v>
          </cell>
        </row>
        <row r="4">
          <cell r="B4" t="str">
            <v>成都</v>
          </cell>
          <cell r="C4">
            <v>63949.103461</v>
          </cell>
          <cell r="D4">
            <v>708.846883</v>
          </cell>
          <cell r="E4">
            <v>6311.118402</v>
          </cell>
          <cell r="F4">
            <v>6311.118402</v>
          </cell>
          <cell r="G4">
            <v>0</v>
          </cell>
          <cell r="H4">
            <v>-4611.580427</v>
          </cell>
          <cell r="I4">
            <v>-21356.314155</v>
          </cell>
          <cell r="J4">
            <v>2756.776698</v>
          </cell>
          <cell r="K4">
            <v>43638.795209</v>
          </cell>
          <cell r="L4">
            <v>102557.027111</v>
          </cell>
          <cell r="M4">
            <v>2302.460984</v>
          </cell>
          <cell r="N4">
            <v>65648.641436</v>
          </cell>
          <cell r="O4">
            <v>42592.789306</v>
          </cell>
          <cell r="P4">
            <v>49949.913611</v>
          </cell>
          <cell r="Q4">
            <v>15698.727825</v>
          </cell>
          <cell r="R4">
            <v>104859.488095</v>
          </cell>
        </row>
        <row r="4">
          <cell r="V4" t="str">
            <v>成都</v>
          </cell>
          <cell r="W4">
            <v>41.764871</v>
          </cell>
          <cell r="X4">
            <v>29674.217752</v>
          </cell>
          <cell r="Y4">
            <v>5075.152418</v>
          </cell>
          <cell r="Z4">
            <v>8847.660168</v>
          </cell>
        </row>
        <row r="5">
          <cell r="B5" t="str">
            <v>天府新区分公司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5">
          <cell r="V5" t="str">
            <v>天府新区分公司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</row>
        <row r="6">
          <cell r="B6" t="str">
            <v>自贡</v>
          </cell>
          <cell r="C6">
            <v>6349.479978</v>
          </cell>
          <cell r="D6">
            <v>0</v>
          </cell>
          <cell r="E6">
            <v>2079.608283</v>
          </cell>
          <cell r="F6">
            <v>2079.608283</v>
          </cell>
          <cell r="G6">
            <v>0</v>
          </cell>
          <cell r="H6">
            <v>-1286.387541</v>
          </cell>
          <cell r="I6">
            <v>-2981.2628</v>
          </cell>
          <cell r="J6">
            <v>-39.1823060000001</v>
          </cell>
          <cell r="K6">
            <v>4694.125073</v>
          </cell>
          <cell r="L6">
            <v>6599.072325</v>
          </cell>
          <cell r="M6">
            <v>548.31854</v>
          </cell>
          <cell r="N6">
            <v>7142.70072</v>
          </cell>
          <cell r="O6">
            <v>3368.217178</v>
          </cell>
          <cell r="P6">
            <v>6773.733356</v>
          </cell>
          <cell r="Q6">
            <v>368.967363999999</v>
          </cell>
          <cell r="R6">
            <v>7147.390865</v>
          </cell>
        </row>
        <row r="6">
          <cell r="V6" t="str">
            <v>自贡</v>
          </cell>
          <cell r="W6">
            <v>4.222997</v>
          </cell>
          <cell r="X6">
            <v>3938.697658</v>
          </cell>
          <cell r="Y6">
            <v>514.183282</v>
          </cell>
          <cell r="Z6">
            <v>237.021136</v>
          </cell>
        </row>
        <row r="7">
          <cell r="B7" t="str">
            <v>攀枝花</v>
          </cell>
          <cell r="C7">
            <v>3478.948132</v>
          </cell>
          <cell r="D7">
            <v>0</v>
          </cell>
          <cell r="E7">
            <v>622.896318</v>
          </cell>
          <cell r="F7">
            <v>622.896318</v>
          </cell>
          <cell r="G7">
            <v>0</v>
          </cell>
          <cell r="H7">
            <v>37.002292</v>
          </cell>
          <cell r="I7">
            <v>-1811.658241</v>
          </cell>
          <cell r="J7">
            <v>-619.395601</v>
          </cell>
          <cell r="K7">
            <v>2113.455976</v>
          </cell>
          <cell r="L7">
            <v>4109.997172</v>
          </cell>
          <cell r="M7">
            <v>35.125103</v>
          </cell>
          <cell r="N7">
            <v>4138.846742</v>
          </cell>
          <cell r="O7">
            <v>1667.289891</v>
          </cell>
          <cell r="P7">
            <v>2736.352294</v>
          </cell>
          <cell r="Q7">
            <v>1402.494448</v>
          </cell>
          <cell r="R7">
            <v>4145.122275</v>
          </cell>
        </row>
        <row r="7">
          <cell r="V7" t="str">
            <v>攀枝花</v>
          </cell>
          <cell r="W7">
            <v>26.283974</v>
          </cell>
          <cell r="X7">
            <v>1386.095782</v>
          </cell>
          <cell r="Y7">
            <v>581.866495</v>
          </cell>
          <cell r="Z7">
            <v>119.209725</v>
          </cell>
        </row>
        <row r="8">
          <cell r="B8" t="str">
            <v>泸州</v>
          </cell>
          <cell r="C8">
            <v>11194.514788</v>
          </cell>
          <cell r="D8">
            <v>0</v>
          </cell>
          <cell r="E8">
            <v>2311.57755</v>
          </cell>
          <cell r="F8">
            <v>1799.66525</v>
          </cell>
          <cell r="G8">
            <v>511.9123</v>
          </cell>
          <cell r="H8">
            <v>81.919993</v>
          </cell>
          <cell r="I8">
            <v>-3889.182926</v>
          </cell>
          <cell r="J8">
            <v>1648.080175</v>
          </cell>
          <cell r="K8">
            <v>7080.622651</v>
          </cell>
          <cell r="L8">
            <v>11592.616737</v>
          </cell>
          <cell r="M8">
            <v>300.831634</v>
          </cell>
          <cell r="N8">
            <v>13588.012331</v>
          </cell>
          <cell r="O8">
            <v>7305.331862</v>
          </cell>
          <cell r="P8">
            <v>8880.287901</v>
          </cell>
          <cell r="Q8">
            <v>4707.72443</v>
          </cell>
          <cell r="R8">
            <v>11893.448371</v>
          </cell>
        </row>
        <row r="8">
          <cell r="V8" t="str">
            <v>泸州</v>
          </cell>
          <cell r="W8">
            <v>201.051216</v>
          </cell>
          <cell r="X8">
            <v>4555.813519</v>
          </cell>
          <cell r="Y8">
            <v>1400.031276</v>
          </cell>
          <cell r="Z8">
            <v>923.72664</v>
          </cell>
        </row>
        <row r="9">
          <cell r="B9" t="str">
            <v>德阳</v>
          </cell>
          <cell r="C9">
            <v>11619.804846</v>
          </cell>
          <cell r="D9">
            <v>137.004933</v>
          </cell>
          <cell r="E9">
            <v>0</v>
          </cell>
          <cell r="F9">
            <v>0</v>
          </cell>
          <cell r="G9">
            <v>0</v>
          </cell>
          <cell r="H9">
            <v>-253.829591</v>
          </cell>
          <cell r="I9">
            <v>-3614.092021</v>
          </cell>
          <cell r="J9">
            <v>1375.114849</v>
          </cell>
          <cell r="K9">
            <v>8838.402311</v>
          </cell>
          <cell r="L9">
            <v>9024.814891</v>
          </cell>
          <cell r="M9">
            <v>-2.482531</v>
          </cell>
          <cell r="N9">
            <v>11365.975255</v>
          </cell>
          <cell r="O9">
            <v>8005.712825</v>
          </cell>
          <cell r="P9">
            <v>8838.402311</v>
          </cell>
          <cell r="Q9">
            <v>2527.572944</v>
          </cell>
          <cell r="R9">
            <v>9022.33236</v>
          </cell>
        </row>
        <row r="9">
          <cell r="V9" t="str">
            <v>德阳</v>
          </cell>
          <cell r="W9">
            <v>1062.209165</v>
          </cell>
          <cell r="X9">
            <v>6055.150285</v>
          </cell>
          <cell r="Y9">
            <v>1267.158987</v>
          </cell>
          <cell r="Z9">
            <v>453.883874</v>
          </cell>
        </row>
        <row r="10">
          <cell r="B10" t="str">
            <v>绵阳</v>
          </cell>
          <cell r="C10">
            <v>12255.97013</v>
          </cell>
          <cell r="D10">
            <v>14.215581</v>
          </cell>
          <cell r="E10">
            <v>482</v>
          </cell>
          <cell r="F10">
            <v>482</v>
          </cell>
          <cell r="G10">
            <v>0</v>
          </cell>
          <cell r="H10">
            <v>-252.615084</v>
          </cell>
          <cell r="I10">
            <v>-2556.984498</v>
          </cell>
          <cell r="J10">
            <v>1086.727378</v>
          </cell>
          <cell r="K10">
            <v>7312.583435</v>
          </cell>
          <cell r="L10">
            <v>13341.099773</v>
          </cell>
          <cell r="M10">
            <v>228.326816</v>
          </cell>
          <cell r="N10">
            <v>12485.355046</v>
          </cell>
          <cell r="O10">
            <v>9698.985632</v>
          </cell>
          <cell r="P10">
            <v>7794.583435</v>
          </cell>
          <cell r="Q10">
            <v>4690.771611</v>
          </cell>
          <cell r="R10">
            <v>13569.426589</v>
          </cell>
        </row>
        <row r="10">
          <cell r="V10" t="str">
            <v>绵阳</v>
          </cell>
          <cell r="W10">
            <v>204.598714</v>
          </cell>
          <cell r="X10">
            <v>5498.545331</v>
          </cell>
          <cell r="Y10">
            <v>816.107025</v>
          </cell>
          <cell r="Z10">
            <v>793.332365</v>
          </cell>
        </row>
        <row r="11">
          <cell r="B11" t="str">
            <v>广元</v>
          </cell>
          <cell r="C11">
            <v>8412.679906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-217.653429</v>
          </cell>
          <cell r="I11">
            <v>-1464.984519</v>
          </cell>
          <cell r="J11">
            <v>303.333986</v>
          </cell>
          <cell r="K11">
            <v>4948.349572</v>
          </cell>
          <cell r="L11">
            <v>5987.776714</v>
          </cell>
          <cell r="M11">
            <v>301.436159</v>
          </cell>
          <cell r="N11">
            <v>8195.026477</v>
          </cell>
          <cell r="O11">
            <v>6947.695387</v>
          </cell>
          <cell r="P11">
            <v>4948.349572</v>
          </cell>
          <cell r="Q11">
            <v>3246.676905</v>
          </cell>
          <cell r="R11">
            <v>6289.212873</v>
          </cell>
        </row>
        <row r="11">
          <cell r="V11" t="str">
            <v>广元</v>
          </cell>
          <cell r="W11">
            <v>53.144877</v>
          </cell>
          <cell r="X11">
            <v>4347.460154</v>
          </cell>
          <cell r="Y11">
            <v>439.83924</v>
          </cell>
          <cell r="Z11">
            <v>107.905301</v>
          </cell>
        </row>
        <row r="12">
          <cell r="B12" t="str">
            <v>遂宁</v>
          </cell>
          <cell r="C12">
            <v>5896.817931</v>
          </cell>
          <cell r="D12">
            <v>0</v>
          </cell>
          <cell r="E12">
            <v>579.2655</v>
          </cell>
          <cell r="F12">
            <v>579.2655</v>
          </cell>
          <cell r="G12">
            <v>0</v>
          </cell>
          <cell r="H12">
            <v>-486.542679</v>
          </cell>
          <cell r="I12">
            <v>-1268.600265</v>
          </cell>
          <cell r="J12">
            <v>478.146712</v>
          </cell>
          <cell r="K12">
            <v>4602.465537</v>
          </cell>
          <cell r="L12">
            <v>3574.649536</v>
          </cell>
          <cell r="M12">
            <v>222.859686</v>
          </cell>
          <cell r="N12">
            <v>5989.540752</v>
          </cell>
          <cell r="O12">
            <v>4628.217666</v>
          </cell>
          <cell r="P12">
            <v>5181.731037</v>
          </cell>
          <cell r="Q12">
            <v>807.809715</v>
          </cell>
          <cell r="R12">
            <v>3797.509222</v>
          </cell>
        </row>
        <row r="12">
          <cell r="V12" t="str">
            <v>遂宁</v>
          </cell>
          <cell r="W12">
            <v>134.222915</v>
          </cell>
          <cell r="X12">
            <v>3726.602952</v>
          </cell>
          <cell r="Y12">
            <v>580.952499</v>
          </cell>
          <cell r="Z12">
            <v>160.687171</v>
          </cell>
        </row>
        <row r="13">
          <cell r="B13" t="str">
            <v>内江</v>
          </cell>
          <cell r="C13">
            <v>5020.64942</v>
          </cell>
          <cell r="D13">
            <v>0</v>
          </cell>
          <cell r="E13">
            <v>969.477</v>
          </cell>
          <cell r="F13">
            <v>969.477</v>
          </cell>
          <cell r="G13">
            <v>0</v>
          </cell>
          <cell r="H13">
            <v>201.782226</v>
          </cell>
          <cell r="I13">
            <v>-1766.304059</v>
          </cell>
          <cell r="J13">
            <v>326.566159</v>
          </cell>
          <cell r="K13">
            <v>3021.530767</v>
          </cell>
          <cell r="L13">
            <v>5581.838543</v>
          </cell>
          <cell r="M13">
            <v>-42.76564</v>
          </cell>
          <cell r="N13">
            <v>6191.908646</v>
          </cell>
          <cell r="O13">
            <v>3254.345361</v>
          </cell>
          <cell r="P13">
            <v>3991.007767</v>
          </cell>
          <cell r="Q13">
            <v>2200.900879</v>
          </cell>
          <cell r="R13">
            <v>5539.072903</v>
          </cell>
        </row>
        <row r="13">
          <cell r="V13" t="str">
            <v>内江</v>
          </cell>
          <cell r="W13">
            <v>11.013369</v>
          </cell>
          <cell r="X13">
            <v>2369.633134</v>
          </cell>
          <cell r="Y13">
            <v>464.00094</v>
          </cell>
          <cell r="Z13">
            <v>176.883324</v>
          </cell>
        </row>
        <row r="14">
          <cell r="B14" t="str">
            <v>乐山</v>
          </cell>
          <cell r="C14">
            <v>12666.747644</v>
          </cell>
          <cell r="D14">
            <v>0</v>
          </cell>
          <cell r="E14">
            <v>1071.391182</v>
          </cell>
          <cell r="F14">
            <v>1071.391182</v>
          </cell>
          <cell r="G14">
            <v>0</v>
          </cell>
          <cell r="H14">
            <v>-642.67981</v>
          </cell>
          <cell r="I14">
            <v>-2576.878303</v>
          </cell>
          <cell r="J14">
            <v>776.550402</v>
          </cell>
          <cell r="K14">
            <v>9705.951792</v>
          </cell>
          <cell r="L14">
            <v>7391.933465</v>
          </cell>
          <cell r="M14">
            <v>113.105647</v>
          </cell>
          <cell r="N14">
            <v>13095.459016</v>
          </cell>
          <cell r="O14">
            <v>10089.869341</v>
          </cell>
          <cell r="P14">
            <v>10777.342974</v>
          </cell>
          <cell r="Q14">
            <v>2318.116042</v>
          </cell>
          <cell r="R14">
            <v>7505.039112</v>
          </cell>
        </row>
        <row r="14">
          <cell r="V14" t="str">
            <v>乐山</v>
          </cell>
          <cell r="W14">
            <v>125.645783</v>
          </cell>
          <cell r="X14">
            <v>7729.009365</v>
          </cell>
          <cell r="Y14">
            <v>1232.653063</v>
          </cell>
          <cell r="Z14">
            <v>618.643581</v>
          </cell>
        </row>
        <row r="15">
          <cell r="B15" t="str">
            <v>南充</v>
          </cell>
          <cell r="C15">
            <v>16146.544697</v>
          </cell>
          <cell r="D15">
            <v>0</v>
          </cell>
          <cell r="E15">
            <v>300.162835</v>
          </cell>
          <cell r="F15">
            <v>300.162835</v>
          </cell>
          <cell r="G15">
            <v>0</v>
          </cell>
          <cell r="H15">
            <v>463.741498</v>
          </cell>
          <cell r="I15">
            <v>-4537.393888</v>
          </cell>
          <cell r="J15">
            <v>2185.16699</v>
          </cell>
          <cell r="K15">
            <v>9403.265613</v>
          </cell>
          <cell r="L15">
            <v>10107.543238</v>
          </cell>
          <cell r="M15">
            <v>-111.315486</v>
          </cell>
          <cell r="N15">
            <v>16910.44903</v>
          </cell>
          <cell r="O15">
            <v>11609.150809</v>
          </cell>
          <cell r="P15">
            <v>9703.428448</v>
          </cell>
          <cell r="Q15">
            <v>7207.020582</v>
          </cell>
          <cell r="R15">
            <v>9996.227752</v>
          </cell>
        </row>
        <row r="15">
          <cell r="V15" t="str">
            <v>南充</v>
          </cell>
          <cell r="W15">
            <v>23.839896</v>
          </cell>
          <cell r="X15">
            <v>8120.847156</v>
          </cell>
          <cell r="Y15">
            <v>960.612877</v>
          </cell>
          <cell r="Z15">
            <v>297.965684</v>
          </cell>
        </row>
        <row r="16">
          <cell r="B16" t="str">
            <v>眉山</v>
          </cell>
          <cell r="C16">
            <v>10739.882963</v>
          </cell>
          <cell r="D16">
            <v>191.13136</v>
          </cell>
          <cell r="E16">
            <v>347.225596</v>
          </cell>
          <cell r="F16">
            <v>347.225596</v>
          </cell>
          <cell r="G16">
            <v>0</v>
          </cell>
          <cell r="H16">
            <v>-58.967626</v>
          </cell>
          <cell r="I16">
            <v>-1999.284785</v>
          </cell>
          <cell r="J16">
            <v>1258.629936</v>
          </cell>
          <cell r="K16">
            <v>7791.664785</v>
          </cell>
          <cell r="L16">
            <v>7602.692522</v>
          </cell>
          <cell r="M16">
            <v>-46.66238</v>
          </cell>
          <cell r="N16">
            <v>11028.140933</v>
          </cell>
          <cell r="O16">
            <v>8740.598178</v>
          </cell>
          <cell r="P16">
            <v>8138.890381</v>
          </cell>
          <cell r="Q16">
            <v>2889.250552</v>
          </cell>
          <cell r="R16">
            <v>7556.030142</v>
          </cell>
        </row>
        <row r="16">
          <cell r="V16" t="str">
            <v>眉山</v>
          </cell>
          <cell r="W16">
            <v>48.181647</v>
          </cell>
          <cell r="X16">
            <v>6759.275326</v>
          </cell>
          <cell r="Y16">
            <v>559.1155</v>
          </cell>
          <cell r="Z16">
            <v>425.092312</v>
          </cell>
        </row>
        <row r="17">
          <cell r="B17" t="str">
            <v>宜宾</v>
          </cell>
          <cell r="C17">
            <v>12537.700329</v>
          </cell>
          <cell r="D17">
            <v>0</v>
          </cell>
          <cell r="E17">
            <v>422.226831</v>
          </cell>
          <cell r="F17">
            <v>422.226831</v>
          </cell>
          <cell r="G17">
            <v>0</v>
          </cell>
          <cell r="H17">
            <v>-57.485897</v>
          </cell>
          <cell r="I17">
            <v>-3139.48662</v>
          </cell>
          <cell r="J17">
            <v>1518.458633</v>
          </cell>
          <cell r="K17">
            <v>8217.284419</v>
          </cell>
          <cell r="L17">
            <v>7937.042021</v>
          </cell>
          <cell r="M17">
            <v>-28.216112</v>
          </cell>
          <cell r="N17">
            <v>12902.441263</v>
          </cell>
          <cell r="O17">
            <v>9398.213709</v>
          </cell>
          <cell r="P17">
            <v>8639.51125</v>
          </cell>
          <cell r="Q17">
            <v>4262.930013</v>
          </cell>
          <cell r="R17">
            <v>7908.825909</v>
          </cell>
        </row>
        <row r="17">
          <cell r="V17" t="str">
            <v>宜宾</v>
          </cell>
          <cell r="W17">
            <v>86.680032</v>
          </cell>
          <cell r="X17">
            <v>6225.76226</v>
          </cell>
          <cell r="Y17">
            <v>1506.711504</v>
          </cell>
          <cell r="Z17">
            <v>398.130623</v>
          </cell>
        </row>
        <row r="18">
          <cell r="B18" t="str">
            <v>广安</v>
          </cell>
          <cell r="C18">
            <v>8497.586109</v>
          </cell>
          <cell r="D18">
            <v>0</v>
          </cell>
          <cell r="E18">
            <v>49.967942</v>
          </cell>
          <cell r="F18">
            <v>49.967942</v>
          </cell>
          <cell r="G18">
            <v>0</v>
          </cell>
          <cell r="H18">
            <v>-261.727912</v>
          </cell>
          <cell r="I18">
            <v>-2306.7589</v>
          </cell>
          <cell r="J18">
            <v>1003.77613</v>
          </cell>
          <cell r="K18">
            <v>6521.968344</v>
          </cell>
          <cell r="L18">
            <v>3640.974216</v>
          </cell>
          <cell r="M18">
            <v>47.591532</v>
          </cell>
          <cell r="N18">
            <v>8285.826139</v>
          </cell>
          <cell r="O18">
            <v>6190.827209</v>
          </cell>
          <cell r="P18">
            <v>6571.936286</v>
          </cell>
          <cell r="Q18">
            <v>1713.889853</v>
          </cell>
          <cell r="R18">
            <v>3688.565748</v>
          </cell>
        </row>
        <row r="18">
          <cell r="V18" t="str">
            <v>广安</v>
          </cell>
          <cell r="W18">
            <v>7.263921</v>
          </cell>
          <cell r="X18">
            <v>5146.587734</v>
          </cell>
          <cell r="Y18">
            <v>1099.418494</v>
          </cell>
          <cell r="Z18">
            <v>268.698195</v>
          </cell>
        </row>
        <row r="19">
          <cell r="B19" t="str">
            <v>达州</v>
          </cell>
          <cell r="C19">
            <v>10552.682023</v>
          </cell>
          <cell r="D19">
            <v>190.52547</v>
          </cell>
          <cell r="E19">
            <v>2246.7506</v>
          </cell>
          <cell r="F19">
            <v>2246.7506</v>
          </cell>
          <cell r="G19">
            <v>0</v>
          </cell>
          <cell r="H19">
            <v>-49.391054</v>
          </cell>
          <cell r="I19">
            <v>-4960.631623</v>
          </cell>
          <cell r="J19">
            <v>2122.415694</v>
          </cell>
          <cell r="K19">
            <v>5333.463477</v>
          </cell>
          <cell r="L19">
            <v>7071.969656</v>
          </cell>
          <cell r="M19">
            <v>1125.256133</v>
          </cell>
          <cell r="N19">
            <v>12750.041569</v>
          </cell>
          <cell r="O19">
            <v>5592.0504</v>
          </cell>
          <cell r="P19">
            <v>7580.214077</v>
          </cell>
          <cell r="Q19">
            <v>5169.827492</v>
          </cell>
          <cell r="R19">
            <v>8197.225789</v>
          </cell>
        </row>
        <row r="19">
          <cell r="V19" t="str">
            <v>达州</v>
          </cell>
          <cell r="W19">
            <v>206.053606</v>
          </cell>
          <cell r="X19">
            <v>3024.861659</v>
          </cell>
          <cell r="Y19">
            <v>1604.774739</v>
          </cell>
          <cell r="Z19">
            <v>497.773473</v>
          </cell>
        </row>
        <row r="20">
          <cell r="B20" t="str">
            <v>雅安</v>
          </cell>
          <cell r="C20">
            <v>2763.432516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-346.721878</v>
          </cell>
          <cell r="I20">
            <v>-601.478317</v>
          </cell>
          <cell r="J20">
            <v>156.050845</v>
          </cell>
          <cell r="K20">
            <v>1634.011767</v>
          </cell>
          <cell r="L20">
            <v>4518.36883</v>
          </cell>
          <cell r="M20">
            <v>19.02183</v>
          </cell>
          <cell r="N20">
            <v>2416.710638</v>
          </cell>
          <cell r="O20">
            <v>2161.954199</v>
          </cell>
          <cell r="P20">
            <v>1634.011767</v>
          </cell>
          <cell r="Q20">
            <v>782.698871</v>
          </cell>
          <cell r="R20">
            <v>4537.39066</v>
          </cell>
        </row>
        <row r="20">
          <cell r="V20" t="str">
            <v>雅安</v>
          </cell>
          <cell r="W20">
            <v>967.220554</v>
          </cell>
          <cell r="X20">
            <v>194.209215</v>
          </cell>
          <cell r="Y20">
            <v>368.58436</v>
          </cell>
          <cell r="Z20">
            <v>103.997638</v>
          </cell>
        </row>
        <row r="21">
          <cell r="B21" t="str">
            <v>巴中</v>
          </cell>
          <cell r="C21">
            <v>8664.275327</v>
          </cell>
          <cell r="D21">
            <v>0</v>
          </cell>
          <cell r="E21">
            <v>1925.100527</v>
          </cell>
          <cell r="F21">
            <v>1925.100527</v>
          </cell>
          <cell r="G21">
            <v>0</v>
          </cell>
          <cell r="H21">
            <v>-142.079887</v>
          </cell>
          <cell r="I21">
            <v>-3129.547183</v>
          </cell>
          <cell r="J21">
            <v>1804.458951</v>
          </cell>
          <cell r="K21">
            <v>6811.805516</v>
          </cell>
          <cell r="L21">
            <v>6733.385469</v>
          </cell>
          <cell r="M21">
            <v>27.610928</v>
          </cell>
          <cell r="N21">
            <v>10447.295967</v>
          </cell>
          <cell r="O21">
            <v>5534.728144</v>
          </cell>
          <cell r="P21">
            <v>8736.906043</v>
          </cell>
          <cell r="Q21">
            <v>1710.389924</v>
          </cell>
          <cell r="R21">
            <v>6760.996397</v>
          </cell>
        </row>
        <row r="21">
          <cell r="V21" t="str">
            <v>巴中</v>
          </cell>
          <cell r="W21">
            <v>40.080092</v>
          </cell>
          <cell r="X21">
            <v>4787.997737</v>
          </cell>
          <cell r="Y21">
            <v>980.617207</v>
          </cell>
          <cell r="Z21">
            <v>1003.11048</v>
          </cell>
        </row>
        <row r="22">
          <cell r="B22" t="str">
            <v>资阳</v>
          </cell>
          <cell r="C22">
            <v>4187.308534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-278.986631</v>
          </cell>
          <cell r="I22">
            <v>-1070.043493</v>
          </cell>
          <cell r="J22">
            <v>459.908225</v>
          </cell>
          <cell r="K22">
            <v>3133.511334</v>
          </cell>
          <cell r="L22">
            <v>4747.412201</v>
          </cell>
          <cell r="M22">
            <v>4.148159</v>
          </cell>
          <cell r="N22">
            <v>3908.321903</v>
          </cell>
          <cell r="O22">
            <v>3117.265041</v>
          </cell>
          <cell r="P22">
            <v>3133.511334</v>
          </cell>
          <cell r="Q22">
            <v>774.810569</v>
          </cell>
          <cell r="R22">
            <v>4751.56036</v>
          </cell>
        </row>
        <row r="22">
          <cell r="V22" t="str">
            <v>资阳</v>
          </cell>
          <cell r="W22">
            <v>2.187247</v>
          </cell>
          <cell r="X22">
            <v>2524.646715</v>
          </cell>
          <cell r="Y22">
            <v>342.402045</v>
          </cell>
          <cell r="Z22">
            <v>264.275327</v>
          </cell>
        </row>
        <row r="23">
          <cell r="B23" t="str">
            <v>阿坝</v>
          </cell>
          <cell r="C23">
            <v>4236.531529</v>
          </cell>
          <cell r="D23">
            <v>0</v>
          </cell>
          <cell r="E23">
            <v>382.92</v>
          </cell>
          <cell r="F23">
            <v>382.92</v>
          </cell>
          <cell r="G23">
            <v>0</v>
          </cell>
          <cell r="H23">
            <v>57.196285</v>
          </cell>
          <cell r="I23">
            <v>-1506.714783</v>
          </cell>
          <cell r="J23">
            <v>763.036773</v>
          </cell>
          <cell r="K23">
            <v>2599.97581</v>
          </cell>
          <cell r="L23">
            <v>6485.394872</v>
          </cell>
          <cell r="M23">
            <v>498.67586</v>
          </cell>
          <cell r="N23">
            <v>4676.647814</v>
          </cell>
          <cell r="O23">
            <v>2729.816746</v>
          </cell>
          <cell r="P23">
            <v>2982.89581</v>
          </cell>
          <cell r="Q23">
            <v>1693.752004</v>
          </cell>
          <cell r="R23">
            <v>6984.070732</v>
          </cell>
        </row>
        <row r="23">
          <cell r="V23" t="str">
            <v>阿坝</v>
          </cell>
          <cell r="W23">
            <v>31.941727</v>
          </cell>
          <cell r="X23">
            <v>1339.069357</v>
          </cell>
          <cell r="Y23">
            <v>1114.245208</v>
          </cell>
          <cell r="Z23">
            <v>114.719518</v>
          </cell>
        </row>
        <row r="24">
          <cell r="B24" t="str">
            <v>甘孜</v>
          </cell>
          <cell r="C24">
            <v>6331.724509</v>
          </cell>
          <cell r="D24">
            <v>0</v>
          </cell>
          <cell r="E24">
            <v>1048.769125</v>
          </cell>
          <cell r="F24">
            <v>1048.769125</v>
          </cell>
          <cell r="G24">
            <v>0</v>
          </cell>
          <cell r="H24">
            <v>29.433595</v>
          </cell>
          <cell r="I24">
            <v>-3042.157083</v>
          </cell>
          <cell r="J24">
            <v>781.631536</v>
          </cell>
          <cell r="K24">
            <v>4358.641272</v>
          </cell>
          <cell r="L24">
            <v>6599.498245</v>
          </cell>
          <cell r="M24">
            <v>534.251347</v>
          </cell>
          <cell r="N24">
            <v>7409.927229</v>
          </cell>
          <cell r="O24">
            <v>3289.567426</v>
          </cell>
          <cell r="P24">
            <v>5407.410397</v>
          </cell>
          <cell r="Q24">
            <v>2002.516832</v>
          </cell>
          <cell r="R24">
            <v>7133.749592</v>
          </cell>
        </row>
        <row r="24">
          <cell r="V24" t="str">
            <v>甘孜</v>
          </cell>
          <cell r="W24">
            <v>1.34745</v>
          </cell>
          <cell r="X24">
            <v>1167.117391</v>
          </cell>
          <cell r="Y24">
            <v>2846.6477</v>
          </cell>
          <cell r="Z24">
            <v>343.528731</v>
          </cell>
        </row>
        <row r="25">
          <cell r="B25" t="str">
            <v>凉山</v>
          </cell>
          <cell r="C25">
            <v>11765.163475</v>
          </cell>
          <cell r="D25">
            <v>0</v>
          </cell>
          <cell r="E25">
            <v>342.3</v>
          </cell>
          <cell r="F25">
            <v>342.3</v>
          </cell>
          <cell r="G25">
            <v>0</v>
          </cell>
          <cell r="H25">
            <v>2063.961461</v>
          </cell>
          <cell r="I25">
            <v>-3869.803615</v>
          </cell>
          <cell r="J25">
            <v>1518.719154</v>
          </cell>
          <cell r="K25">
            <v>9044.270356</v>
          </cell>
          <cell r="L25">
            <v>13103.056339</v>
          </cell>
          <cell r="M25">
            <v>379.420233</v>
          </cell>
          <cell r="N25">
            <v>14171.424936</v>
          </cell>
          <cell r="O25">
            <v>7895.35986</v>
          </cell>
          <cell r="P25">
            <v>9386.570356</v>
          </cell>
          <cell r="Q25">
            <v>4784.85458</v>
          </cell>
          <cell r="R25">
            <v>13482.476572</v>
          </cell>
        </row>
        <row r="25">
          <cell r="V25" t="str">
            <v>凉山</v>
          </cell>
          <cell r="W25">
            <v>11.957924</v>
          </cell>
          <cell r="X25">
            <v>6487.895952</v>
          </cell>
          <cell r="Y25">
            <v>2037.756328</v>
          </cell>
          <cell r="Z25">
            <v>506.660152</v>
          </cell>
        </row>
        <row r="26">
          <cell r="B26" t="str">
            <v>长传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-10.062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-10.062</v>
          </cell>
          <cell r="P26">
            <v>0</v>
          </cell>
          <cell r="Q26">
            <v>0</v>
          </cell>
          <cell r="R26">
            <v>0</v>
          </cell>
        </row>
        <row r="27">
          <cell r="B27" t="str">
            <v>机动</v>
          </cell>
          <cell r="C27">
            <v>-0.257083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-2.685288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-0.257083</v>
          </cell>
          <cell r="O27">
            <v>-2.942371</v>
          </cell>
          <cell r="P27">
            <v>0</v>
          </cell>
          <cell r="Q27">
            <v>-0.257083</v>
          </cell>
          <cell r="R27">
            <v>0</v>
          </cell>
        </row>
        <row r="28">
          <cell r="B28" t="str">
            <v>号百</v>
          </cell>
          <cell r="C28">
            <v>10.046137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-27.029274</v>
          </cell>
          <cell r="J28">
            <v>-1.520166</v>
          </cell>
          <cell r="K28">
            <v>0</v>
          </cell>
          <cell r="L28">
            <v>0.928975</v>
          </cell>
          <cell r="M28">
            <v>0</v>
          </cell>
          <cell r="N28">
            <v>10.046137</v>
          </cell>
          <cell r="O28">
            <v>-16.983137</v>
          </cell>
          <cell r="P28">
            <v>0</v>
          </cell>
          <cell r="Q28">
            <v>10.046137</v>
          </cell>
          <cell r="R28">
            <v>0.928975</v>
          </cell>
        </row>
        <row r="29">
          <cell r="B29" t="str">
            <v>应用商店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287833.312454</v>
          </cell>
          <cell r="D30">
            <v>1241.724227</v>
          </cell>
          <cell r="E30">
            <v>21492.757691</v>
          </cell>
          <cell r="F30">
            <v>20980.845391</v>
          </cell>
          <cell r="G30">
            <v>511.9123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计算结果表"/>
    </sheetNames>
    <sheetDataSet>
      <sheetData sheetId="0"/>
      <sheetData sheetId="1">
        <row r="1">
          <cell r="C1" t="str">
            <v>应收账款</v>
          </cell>
          <cell r="D1" t="str">
            <v>应收票据</v>
          </cell>
          <cell r="E1" t="str">
            <v>合同资产</v>
          </cell>
          <cell r="F1" t="str">
            <v>营业款结算</v>
          </cell>
          <cell r="G1" t="str">
            <v>坏账</v>
          </cell>
          <cell r="H1" t="str">
            <v>信用减值损失</v>
          </cell>
          <cell r="I1" t="str">
            <v>产数应收</v>
          </cell>
          <cell r="J1" t="str">
            <v>预收账款(取负号）</v>
          </cell>
          <cell r="K1" t="str">
            <v>合同负债（取负号）</v>
          </cell>
          <cell r="L1" t="str">
            <v>应收账款总额</v>
          </cell>
          <cell r="M1" t="str">
            <v>应收账款净额</v>
          </cell>
          <cell r="N1" t="str">
            <v>产数应收总额</v>
          </cell>
          <cell r="O1" t="str">
            <v>基础应收</v>
          </cell>
          <cell r="P1" t="str">
            <v>预收账款</v>
          </cell>
        </row>
        <row r="2">
          <cell r="C2" t="str">
            <v>1122*</v>
          </cell>
          <cell r="D2" t="str">
            <v>1121*</v>
          </cell>
          <cell r="E2" t="str">
            <v>1126*</v>
          </cell>
          <cell r="F2" t="str">
            <v>1124*</v>
          </cell>
          <cell r="G2" t="str">
            <v>1231*</v>
          </cell>
          <cell r="H2" t="str">
            <v>6702*</v>
          </cell>
          <cell r="I2" t="str">
            <v>112203*</v>
          </cell>
          <cell r="J2" t="str">
            <v>2203*</v>
          </cell>
          <cell r="K2" t="str">
            <v>2204*</v>
          </cell>
        </row>
        <row r="3">
          <cell r="B3" t="str">
            <v>省公司本部</v>
          </cell>
          <cell r="C3">
            <v>45355.731724</v>
          </cell>
          <cell r="D3">
            <v>0</v>
          </cell>
          <cell r="E3">
            <v>0</v>
          </cell>
          <cell r="F3">
            <v>0</v>
          </cell>
          <cell r="G3">
            <v>-4514.525673</v>
          </cell>
          <cell r="H3">
            <v>1850.231199</v>
          </cell>
          <cell r="I3">
            <v>21332.874485</v>
          </cell>
          <cell r="J3">
            <v>24250.520179</v>
          </cell>
          <cell r="K3">
            <v>898.329549</v>
          </cell>
          <cell r="L3">
            <v>45355.731724</v>
          </cell>
          <cell r="M3">
            <v>40841.206051</v>
          </cell>
          <cell r="N3">
            <v>21332.874485</v>
          </cell>
          <cell r="O3">
            <v>24022.857239</v>
          </cell>
          <cell r="P3">
            <v>25148.849728</v>
          </cell>
        </row>
        <row r="4">
          <cell r="B4" t="str">
            <v>成都</v>
          </cell>
          <cell r="C4">
            <v>47796.33072</v>
          </cell>
          <cell r="D4">
            <v>168.309806</v>
          </cell>
          <cell r="E4">
            <v>12966.868128</v>
          </cell>
          <cell r="F4">
            <v>0</v>
          </cell>
          <cell r="G4">
            <v>-20416.496507</v>
          </cell>
          <cell r="H4">
            <v>676.085275</v>
          </cell>
          <cell r="I4">
            <v>26882.101629</v>
          </cell>
          <cell r="J4">
            <v>103891.175468</v>
          </cell>
          <cell r="K4">
            <v>1235.100114</v>
          </cell>
          <cell r="L4">
            <v>60763.198848</v>
          </cell>
          <cell r="M4">
            <v>27379.834213</v>
          </cell>
          <cell r="N4">
            <v>39848.969757</v>
          </cell>
          <cell r="O4">
            <v>20914.229091</v>
          </cell>
          <cell r="P4">
            <v>105126.275582</v>
          </cell>
        </row>
        <row r="5">
          <cell r="B5" t="str">
            <v>天府新区分公司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B6" t="str">
            <v>自贡</v>
          </cell>
          <cell r="C6">
            <v>4741.550916</v>
          </cell>
          <cell r="D6">
            <v>0</v>
          </cell>
          <cell r="E6">
            <v>1973.548941</v>
          </cell>
          <cell r="F6">
            <v>0</v>
          </cell>
          <cell r="G6">
            <v>-2909.575897</v>
          </cell>
          <cell r="H6">
            <v>1212.244093</v>
          </cell>
          <cell r="I6">
            <v>2788.466932</v>
          </cell>
          <cell r="J6">
            <v>6548.486618</v>
          </cell>
          <cell r="K6">
            <v>394.036001</v>
          </cell>
          <cell r="L6">
            <v>6715.099857</v>
          </cell>
          <cell r="M6">
            <v>1831.975019</v>
          </cell>
          <cell r="N6">
            <v>4762.015873</v>
          </cell>
          <cell r="O6">
            <v>1953.083984</v>
          </cell>
          <cell r="P6">
            <v>6942.522619</v>
          </cell>
        </row>
        <row r="7">
          <cell r="B7" t="str">
            <v>攀枝花</v>
          </cell>
          <cell r="C7">
            <v>4551.758531</v>
          </cell>
          <cell r="D7">
            <v>0</v>
          </cell>
          <cell r="E7">
            <v>622.896318</v>
          </cell>
          <cell r="F7">
            <v>0</v>
          </cell>
          <cell r="G7">
            <v>-2459.801085</v>
          </cell>
          <cell r="H7">
            <v>773.90871</v>
          </cell>
          <cell r="I7">
            <v>2323.41433</v>
          </cell>
          <cell r="J7">
            <v>4431.363728</v>
          </cell>
          <cell r="K7">
            <v>39.622632</v>
          </cell>
          <cell r="L7">
            <v>5174.654849</v>
          </cell>
          <cell r="M7">
            <v>2091.957446</v>
          </cell>
          <cell r="N7">
            <v>2946.310648</v>
          </cell>
          <cell r="O7">
            <v>2228.344201</v>
          </cell>
          <cell r="P7">
            <v>4470.98636</v>
          </cell>
        </row>
        <row r="8">
          <cell r="B8" t="str">
            <v>泸州</v>
          </cell>
          <cell r="C8">
            <v>8830.693923</v>
          </cell>
          <cell r="D8">
            <v>0</v>
          </cell>
          <cell r="E8">
            <v>1479.272772</v>
          </cell>
          <cell r="F8">
            <v>0</v>
          </cell>
          <cell r="G8">
            <v>-2100.818909</v>
          </cell>
          <cell r="H8">
            <v>1107.961154</v>
          </cell>
          <cell r="I8">
            <v>4591.566371</v>
          </cell>
          <cell r="J8">
            <v>7841.840918</v>
          </cell>
          <cell r="K8">
            <v>332.256868</v>
          </cell>
          <cell r="L8">
            <v>10309.966695</v>
          </cell>
          <cell r="M8">
            <v>6729.875014</v>
          </cell>
          <cell r="N8">
            <v>6070.839143</v>
          </cell>
          <cell r="O8">
            <v>4239.127552</v>
          </cell>
          <cell r="P8">
            <v>8174.097786</v>
          </cell>
        </row>
        <row r="9">
          <cell r="B9" t="str">
            <v>德阳</v>
          </cell>
          <cell r="C9">
            <v>7986.370995</v>
          </cell>
          <cell r="D9">
            <v>83.7</v>
          </cell>
          <cell r="E9">
            <v>519.166676</v>
          </cell>
          <cell r="F9">
            <v>0</v>
          </cell>
          <cell r="G9">
            <v>-2346.125613</v>
          </cell>
          <cell r="H9">
            <v>1193.408857</v>
          </cell>
          <cell r="I9">
            <v>5588.542139</v>
          </cell>
          <cell r="J9">
            <v>8476.802136</v>
          </cell>
          <cell r="K9">
            <v>80.133543</v>
          </cell>
          <cell r="L9">
            <v>8505.537671</v>
          </cell>
          <cell r="M9">
            <v>5640.245382</v>
          </cell>
          <cell r="N9">
            <v>6107.708815</v>
          </cell>
          <cell r="O9">
            <v>2397.828856</v>
          </cell>
          <cell r="P9">
            <v>8556.935679</v>
          </cell>
        </row>
        <row r="10">
          <cell r="B10" t="str">
            <v>绵阳</v>
          </cell>
          <cell r="C10">
            <v>8492.481932</v>
          </cell>
          <cell r="D10">
            <v>15.243601</v>
          </cell>
          <cell r="E10">
            <v>505.5</v>
          </cell>
          <cell r="F10">
            <v>0</v>
          </cell>
          <cell r="G10">
            <v>-1681.653893</v>
          </cell>
          <cell r="H10">
            <v>920.850587</v>
          </cell>
          <cell r="I10">
            <v>3538.484935</v>
          </cell>
          <cell r="J10">
            <v>12542.493152</v>
          </cell>
          <cell r="K10">
            <v>109.993433</v>
          </cell>
          <cell r="L10">
            <v>8997.981932</v>
          </cell>
          <cell r="M10">
            <v>6810.828039</v>
          </cell>
          <cell r="N10">
            <v>4043.984935</v>
          </cell>
          <cell r="O10">
            <v>4953.996997</v>
          </cell>
          <cell r="P10">
            <v>12652.486585</v>
          </cell>
        </row>
        <row r="11">
          <cell r="B11" t="str">
            <v>广元</v>
          </cell>
          <cell r="C11">
            <v>4448.85043</v>
          </cell>
          <cell r="D11">
            <v>0</v>
          </cell>
          <cell r="E11">
            <v>342.1</v>
          </cell>
          <cell r="F11">
            <v>0</v>
          </cell>
          <cell r="G11">
            <v>-1211.520679</v>
          </cell>
          <cell r="H11">
            <v>430.336982</v>
          </cell>
          <cell r="I11">
            <v>2502.65239</v>
          </cell>
          <cell r="J11">
            <v>4409.48381</v>
          </cell>
          <cell r="K11">
            <v>281.509503</v>
          </cell>
          <cell r="L11">
            <v>4790.95043</v>
          </cell>
          <cell r="M11">
            <v>3237.329751</v>
          </cell>
          <cell r="N11">
            <v>2844.75239</v>
          </cell>
          <cell r="O11">
            <v>1946.19804</v>
          </cell>
          <cell r="P11">
            <v>4690.993313</v>
          </cell>
        </row>
        <row r="12">
          <cell r="B12" t="str">
            <v>遂宁</v>
          </cell>
          <cell r="C12">
            <v>4524.448219</v>
          </cell>
          <cell r="D12">
            <v>0</v>
          </cell>
          <cell r="E12">
            <v>12</v>
          </cell>
          <cell r="F12">
            <v>0</v>
          </cell>
          <cell r="G12">
            <v>-822.367942</v>
          </cell>
          <cell r="H12">
            <v>381.703614</v>
          </cell>
          <cell r="I12">
            <v>2927.011684</v>
          </cell>
          <cell r="J12">
            <v>2745.527634</v>
          </cell>
          <cell r="K12">
            <v>237.058377</v>
          </cell>
          <cell r="L12">
            <v>4536.448219</v>
          </cell>
          <cell r="M12">
            <v>3702.080277</v>
          </cell>
          <cell r="N12">
            <v>2939.011684</v>
          </cell>
          <cell r="O12">
            <v>1597.436535</v>
          </cell>
          <cell r="P12">
            <v>2982.586011</v>
          </cell>
        </row>
        <row r="13">
          <cell r="B13" t="str">
            <v>内江</v>
          </cell>
          <cell r="C13">
            <v>4842.636721</v>
          </cell>
          <cell r="D13">
            <v>0</v>
          </cell>
          <cell r="E13">
            <v>1634.6326</v>
          </cell>
          <cell r="F13">
            <v>0</v>
          </cell>
          <cell r="G13">
            <v>-2001.990498</v>
          </cell>
          <cell r="H13">
            <v>663.348913</v>
          </cell>
          <cell r="I13">
            <v>2604.264379</v>
          </cell>
          <cell r="J13">
            <v>4657.68851</v>
          </cell>
          <cell r="K13">
            <v>-201.139236</v>
          </cell>
          <cell r="L13">
            <v>6477.269321</v>
          </cell>
          <cell r="M13">
            <v>2840.646223</v>
          </cell>
          <cell r="N13">
            <v>4238.896979</v>
          </cell>
          <cell r="O13">
            <v>2238.372342</v>
          </cell>
          <cell r="P13">
            <v>4456.549274</v>
          </cell>
        </row>
        <row r="14">
          <cell r="B14" t="str">
            <v>乐山</v>
          </cell>
          <cell r="C14">
            <v>8866.812906</v>
          </cell>
          <cell r="D14">
            <v>0</v>
          </cell>
          <cell r="E14">
            <v>1104</v>
          </cell>
          <cell r="F14">
            <v>0</v>
          </cell>
          <cell r="G14">
            <v>-1837.250726</v>
          </cell>
          <cell r="H14">
            <v>421.770325</v>
          </cell>
          <cell r="I14">
            <v>6534.37071</v>
          </cell>
          <cell r="J14">
            <v>8367.038569</v>
          </cell>
          <cell r="K14">
            <v>75.510816</v>
          </cell>
          <cell r="L14">
            <v>9970.812906</v>
          </cell>
          <cell r="M14">
            <v>7029.56218</v>
          </cell>
          <cell r="N14">
            <v>7638.37071</v>
          </cell>
          <cell r="O14">
            <v>2332.442196</v>
          </cell>
          <cell r="P14">
            <v>8442.549385</v>
          </cell>
        </row>
        <row r="15">
          <cell r="B15" t="str">
            <v>南充</v>
          </cell>
          <cell r="C15">
            <v>9361.386221</v>
          </cell>
          <cell r="D15">
            <v>0</v>
          </cell>
          <cell r="E15">
            <v>2640.577787</v>
          </cell>
          <cell r="F15">
            <v>0</v>
          </cell>
          <cell r="G15">
            <v>-2463.86505</v>
          </cell>
          <cell r="H15">
            <v>959.972399</v>
          </cell>
          <cell r="I15">
            <v>3563.699751</v>
          </cell>
          <cell r="J15">
            <v>8177.692168</v>
          </cell>
          <cell r="K15">
            <v>-239.664916</v>
          </cell>
          <cell r="L15">
            <v>12001.964008</v>
          </cell>
          <cell r="M15">
            <v>6897.521171</v>
          </cell>
          <cell r="N15">
            <v>6204.277538</v>
          </cell>
          <cell r="O15">
            <v>5797.68647</v>
          </cell>
          <cell r="P15">
            <v>7938.027252</v>
          </cell>
        </row>
        <row r="16">
          <cell r="B16" t="str">
            <v>眉山</v>
          </cell>
          <cell r="C16">
            <v>3290.821842</v>
          </cell>
          <cell r="D16">
            <v>0</v>
          </cell>
          <cell r="E16">
            <v>987.522191</v>
          </cell>
          <cell r="F16">
            <v>0</v>
          </cell>
          <cell r="G16">
            <v>-805.540373</v>
          </cell>
          <cell r="H16">
            <v>351.750144</v>
          </cell>
          <cell r="I16">
            <v>965.488652</v>
          </cell>
          <cell r="J16">
            <v>10570.71634</v>
          </cell>
          <cell r="K16">
            <v>170.403683</v>
          </cell>
          <cell r="L16">
            <v>4278.344033</v>
          </cell>
          <cell r="M16">
            <v>2485.281469</v>
          </cell>
          <cell r="N16">
            <v>1953.010843</v>
          </cell>
          <cell r="O16">
            <v>2325.33319</v>
          </cell>
          <cell r="P16">
            <v>10741.120023</v>
          </cell>
        </row>
        <row r="17">
          <cell r="B17" t="str">
            <v>宜宾</v>
          </cell>
          <cell r="C17">
            <v>5731.039232</v>
          </cell>
          <cell r="D17">
            <v>0</v>
          </cell>
          <cell r="E17">
            <v>145.026831</v>
          </cell>
          <cell r="F17">
            <v>0</v>
          </cell>
          <cell r="G17">
            <v>-1759.253842</v>
          </cell>
          <cell r="H17">
            <v>857.322402</v>
          </cell>
          <cell r="I17">
            <v>3121.044902</v>
          </cell>
          <cell r="J17">
            <v>9200.632711</v>
          </cell>
          <cell r="K17">
            <v>17.698005</v>
          </cell>
          <cell r="L17">
            <v>5876.066063</v>
          </cell>
          <cell r="M17">
            <v>3971.78539</v>
          </cell>
          <cell r="N17">
            <v>3266.071733</v>
          </cell>
          <cell r="O17">
            <v>2609.99433</v>
          </cell>
          <cell r="P17">
            <v>9218.330716</v>
          </cell>
        </row>
        <row r="18">
          <cell r="B18" t="str">
            <v>广安</v>
          </cell>
          <cell r="C18">
            <v>4514.619554</v>
          </cell>
          <cell r="D18">
            <v>0</v>
          </cell>
          <cell r="E18">
            <v>49.967942</v>
          </cell>
          <cell r="F18">
            <v>0</v>
          </cell>
          <cell r="G18">
            <v>-1386.246713</v>
          </cell>
          <cell r="H18">
            <v>710.977568</v>
          </cell>
          <cell r="I18">
            <v>2751.245709</v>
          </cell>
          <cell r="J18">
            <v>3951.462464</v>
          </cell>
          <cell r="K18">
            <v>9.389843</v>
          </cell>
          <cell r="L18">
            <v>4564.587496</v>
          </cell>
          <cell r="M18">
            <v>3128.372841</v>
          </cell>
          <cell r="N18">
            <v>2801.213651</v>
          </cell>
          <cell r="O18">
            <v>1763.373845</v>
          </cell>
          <cell r="P18">
            <v>3960.852307</v>
          </cell>
        </row>
        <row r="19">
          <cell r="B19" t="str">
            <v>达州</v>
          </cell>
          <cell r="C19">
            <v>7000.00143</v>
          </cell>
          <cell r="D19">
            <v>0</v>
          </cell>
          <cell r="E19">
            <v>2246.7506</v>
          </cell>
          <cell r="F19">
            <v>0</v>
          </cell>
          <cell r="G19">
            <v>-2912.159632</v>
          </cell>
          <cell r="H19">
            <v>422.130876</v>
          </cell>
          <cell r="I19">
            <v>2240.026758</v>
          </cell>
          <cell r="J19">
            <v>5958.308028</v>
          </cell>
          <cell r="K19">
            <v>747.3419</v>
          </cell>
          <cell r="L19">
            <v>9246.75203</v>
          </cell>
          <cell r="M19">
            <v>4087.841798</v>
          </cell>
          <cell r="N19">
            <v>4486.777358</v>
          </cell>
          <cell r="O19">
            <v>4759.974672</v>
          </cell>
          <cell r="P19">
            <v>6705.649928</v>
          </cell>
        </row>
        <row r="20">
          <cell r="B20" t="str">
            <v>雅安</v>
          </cell>
          <cell r="C20">
            <v>2009.350248</v>
          </cell>
          <cell r="D20">
            <v>0</v>
          </cell>
          <cell r="E20">
            <v>311.245369</v>
          </cell>
          <cell r="F20">
            <v>0</v>
          </cell>
          <cell r="G20">
            <v>-487.685815</v>
          </cell>
          <cell r="H20">
            <v>175.634714</v>
          </cell>
          <cell r="I20">
            <v>793.567385</v>
          </cell>
          <cell r="J20">
            <v>4273.748293</v>
          </cell>
          <cell r="K20">
            <v>27.897864</v>
          </cell>
          <cell r="L20">
            <v>2320.595617</v>
          </cell>
          <cell r="M20">
            <v>1521.664433</v>
          </cell>
          <cell r="N20">
            <v>1104.812754</v>
          </cell>
          <cell r="O20">
            <v>1215.782863</v>
          </cell>
          <cell r="P20">
            <v>4301.646157</v>
          </cell>
        </row>
        <row r="21">
          <cell r="B21" t="str">
            <v>巴中</v>
          </cell>
          <cell r="C21">
            <v>6883.383743</v>
          </cell>
          <cell r="D21">
            <v>0</v>
          </cell>
          <cell r="E21">
            <v>1827.1421</v>
          </cell>
          <cell r="F21">
            <v>0</v>
          </cell>
          <cell r="G21">
            <v>-1336.821265</v>
          </cell>
          <cell r="H21">
            <v>278.143394</v>
          </cell>
          <cell r="I21">
            <v>4980.955625</v>
          </cell>
          <cell r="J21">
            <v>5776.429167</v>
          </cell>
          <cell r="K21">
            <v>13.826828</v>
          </cell>
          <cell r="L21">
            <v>8710.525843</v>
          </cell>
          <cell r="M21">
            <v>5546.562478</v>
          </cell>
          <cell r="N21">
            <v>6808.097725</v>
          </cell>
          <cell r="O21">
            <v>1902.428118</v>
          </cell>
          <cell r="P21">
            <v>5790.255995</v>
          </cell>
        </row>
        <row r="22">
          <cell r="B22" t="str">
            <v>资阳</v>
          </cell>
          <cell r="C22">
            <v>2292.611454</v>
          </cell>
          <cell r="D22">
            <v>0</v>
          </cell>
          <cell r="E22">
            <v>812.876996</v>
          </cell>
          <cell r="F22">
            <v>0</v>
          </cell>
          <cell r="G22">
            <v>-646.876755</v>
          </cell>
          <cell r="H22">
            <v>309.090939</v>
          </cell>
          <cell r="I22">
            <v>1078.579073</v>
          </cell>
          <cell r="J22">
            <v>3614.962053</v>
          </cell>
          <cell r="K22">
            <v>0</v>
          </cell>
          <cell r="L22">
            <v>3105.48845</v>
          </cell>
          <cell r="M22">
            <v>1645.734699</v>
          </cell>
          <cell r="N22">
            <v>1891.456069</v>
          </cell>
          <cell r="O22">
            <v>1214.032381</v>
          </cell>
          <cell r="P22">
            <v>3614.962053</v>
          </cell>
        </row>
        <row r="23">
          <cell r="B23" t="str">
            <v>阿坝</v>
          </cell>
          <cell r="C23">
            <v>2772.827918</v>
          </cell>
          <cell r="D23">
            <v>0</v>
          </cell>
          <cell r="E23">
            <v>382.92</v>
          </cell>
          <cell r="F23">
            <v>0</v>
          </cell>
          <cell r="G23">
            <v>-758.197335</v>
          </cell>
          <cell r="H23">
            <v>-96.253183</v>
          </cell>
          <cell r="I23">
            <v>1405.096067</v>
          </cell>
          <cell r="J23">
            <v>6913.792099</v>
          </cell>
          <cell r="K23">
            <v>434.376298</v>
          </cell>
          <cell r="L23">
            <v>3155.747918</v>
          </cell>
          <cell r="M23">
            <v>2014.630583</v>
          </cell>
          <cell r="N23">
            <v>1788.016067</v>
          </cell>
          <cell r="O23">
            <v>1367.731851</v>
          </cell>
          <cell r="P23">
            <v>7348.168397</v>
          </cell>
        </row>
        <row r="24">
          <cell r="B24" t="str">
            <v>甘孜</v>
          </cell>
          <cell r="C24">
            <v>3356.563978</v>
          </cell>
          <cell r="D24">
            <v>0</v>
          </cell>
          <cell r="E24">
            <v>1048.769125</v>
          </cell>
          <cell r="F24">
            <v>0</v>
          </cell>
          <cell r="G24">
            <v>-2294.530561</v>
          </cell>
          <cell r="H24">
            <v>743.268767</v>
          </cell>
          <cell r="I24">
            <v>1645.996927</v>
          </cell>
          <cell r="J24">
            <v>6147.512509</v>
          </cell>
          <cell r="K24">
            <v>186.014977</v>
          </cell>
          <cell r="L24">
            <v>4405.333103</v>
          </cell>
          <cell r="M24">
            <v>1062.033417</v>
          </cell>
          <cell r="N24">
            <v>2694.766052</v>
          </cell>
          <cell r="O24">
            <v>1710.567051</v>
          </cell>
          <cell r="P24">
            <v>6333.527486</v>
          </cell>
        </row>
        <row r="25">
          <cell r="B25" t="str">
            <v>凉山</v>
          </cell>
          <cell r="C25">
            <v>7086.149818</v>
          </cell>
          <cell r="D25">
            <v>0</v>
          </cell>
          <cell r="E25">
            <v>342.3</v>
          </cell>
          <cell r="F25">
            <v>0</v>
          </cell>
          <cell r="G25">
            <v>-2231.568027</v>
          </cell>
          <cell r="H25">
            <v>295.278731</v>
          </cell>
          <cell r="I25">
            <v>4272.16373</v>
          </cell>
          <cell r="J25">
            <v>14188.538393</v>
          </cell>
          <cell r="K25">
            <v>681.906642</v>
          </cell>
          <cell r="L25">
            <v>7428.449818</v>
          </cell>
          <cell r="M25">
            <v>4854.581791</v>
          </cell>
          <cell r="N25">
            <v>4614.46373</v>
          </cell>
          <cell r="O25">
            <v>2813.986088</v>
          </cell>
          <cell r="P25">
            <v>14870.445035</v>
          </cell>
        </row>
        <row r="26">
          <cell r="B26" t="str">
            <v>长传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-10.062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-10.062</v>
          </cell>
          <cell r="N26">
            <v>0</v>
          </cell>
          <cell r="O26">
            <v>0</v>
          </cell>
          <cell r="P26">
            <v>0</v>
          </cell>
        </row>
        <row r="27">
          <cell r="B27" t="str">
            <v>机动</v>
          </cell>
          <cell r="C27">
            <v>-0.257083</v>
          </cell>
          <cell r="D27">
            <v>0</v>
          </cell>
          <cell r="E27">
            <v>0</v>
          </cell>
          <cell r="F27">
            <v>0</v>
          </cell>
          <cell r="G27">
            <v>-2.685288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-0.257083</v>
          </cell>
          <cell r="M27">
            <v>-2.942371</v>
          </cell>
          <cell r="N27">
            <v>0</v>
          </cell>
          <cell r="O27">
            <v>-0.257083</v>
          </cell>
          <cell r="P27">
            <v>0</v>
          </cell>
        </row>
        <row r="28">
          <cell r="B28" t="str">
            <v>号百</v>
          </cell>
          <cell r="C28">
            <v>18.720087</v>
          </cell>
          <cell r="D28">
            <v>0</v>
          </cell>
          <cell r="E28">
            <v>0</v>
          </cell>
          <cell r="F28">
            <v>0</v>
          </cell>
          <cell r="G28">
            <v>-28.54944</v>
          </cell>
          <cell r="H28">
            <v>0.108745</v>
          </cell>
          <cell r="I28">
            <v>0</v>
          </cell>
          <cell r="J28">
            <v>0.929935</v>
          </cell>
          <cell r="K28">
            <v>0</v>
          </cell>
          <cell r="L28">
            <v>18.720087</v>
          </cell>
          <cell r="M28">
            <v>-9.829353</v>
          </cell>
          <cell r="N28">
            <v>0</v>
          </cell>
          <cell r="O28">
            <v>18.720087</v>
          </cell>
          <cell r="P28">
            <v>0.929935</v>
          </cell>
        </row>
        <row r="29">
          <cell r="B29" t="str">
            <v>应用商店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市州营业收现率12月完成"/>
      <sheetName val="科目余额表"/>
    </sheetNames>
    <sheetDataSet>
      <sheetData sheetId="0">
        <row r="1">
          <cell r="B1" t="str">
            <v>单位</v>
          </cell>
          <cell r="C1" t="str">
            <v>营业总收入（不含IDC）</v>
          </cell>
          <cell r="D1" t="str">
            <v>收入基础数据</v>
          </cell>
        </row>
        <row r="2">
          <cell r="F2" t="str">
            <v>营业收现率</v>
          </cell>
        </row>
        <row r="2">
          <cell r="I2" t="str">
            <v>一、收入及销项税</v>
          </cell>
        </row>
        <row r="2">
          <cell r="S2" t="str">
            <v>二、资产类</v>
          </cell>
        </row>
        <row r="2">
          <cell r="AB2" t="str">
            <v>三、负债类</v>
          </cell>
        </row>
        <row r="3">
          <cell r="I3" t="str">
            <v>1.收入</v>
          </cell>
        </row>
        <row r="3">
          <cell r="R3" t="str">
            <v>2.销项税</v>
          </cell>
          <cell r="S3" t="str">
            <v>3.应收款项</v>
          </cell>
        </row>
        <row r="3">
          <cell r="X3" t="str">
            <v>4.长期应收</v>
          </cell>
        </row>
        <row r="3">
          <cell r="AA3" t="str">
            <v>5.其他应收</v>
          </cell>
          <cell r="AB3" t="str">
            <v>6.预收款项</v>
          </cell>
        </row>
        <row r="3">
          <cell r="AE3" t="str">
            <v>7.应付款项</v>
          </cell>
        </row>
        <row r="3">
          <cell r="AI3" t="str">
            <v>8.其他应付款</v>
          </cell>
        </row>
        <row r="4">
          <cell r="C4" t="str">
            <v>总收入</v>
          </cell>
          <cell r="D4" t="str">
            <v>营业总收入-财报</v>
          </cell>
          <cell r="E4" t="str">
            <v>云锦直销IDC收入</v>
          </cell>
          <cell r="F4" t="str">
            <v>营业收现率完成</v>
          </cell>
        </row>
        <row r="4">
          <cell r="H4" t="str">
            <v>经营活动现金流入完成</v>
          </cell>
          <cell r="I4" t="str">
            <v>营运资金变动前的经营收入</v>
          </cell>
          <cell r="J4" t="str">
            <v>营业收入</v>
          </cell>
          <cell r="K4" t="str">
            <v>减：境内运营商网间结算支出&amp;短信及彩信结算支出</v>
          </cell>
          <cell r="L4" t="str">
            <v>利息收入</v>
          </cell>
          <cell r="M4" t="str">
            <v>其他收益</v>
          </cell>
          <cell r="N4" t="str">
            <v>信用减值损失</v>
          </cell>
          <cell r="O4" t="str">
            <v>合同减值损失</v>
          </cell>
          <cell r="P4" t="str">
            <v>营业外收入</v>
          </cell>
          <cell r="Q4" t="str">
            <v>减：报废长期资产利得/无法支付的应付款项</v>
          </cell>
          <cell r="R4" t="str">
            <v>本期发生的增值税销项税额</v>
          </cell>
          <cell r="S4" t="str">
            <v>应收合计</v>
          </cell>
          <cell r="T4" t="str">
            <v>应收票据</v>
          </cell>
          <cell r="U4" t="str">
            <v>应收账款</v>
          </cell>
          <cell r="V4" t="str">
            <v>合同资产</v>
          </cell>
          <cell r="W4" t="str">
            <v>应收利息</v>
          </cell>
          <cell r="X4" t="str">
            <v>长期应收合计</v>
          </cell>
          <cell r="Y4" t="str">
            <v>长期应收
（未区分一年以上和一年以内）</v>
          </cell>
          <cell r="Z4" t="str">
            <v>减：手机终端融资租赁</v>
          </cell>
          <cell r="AA4" t="str">
            <v>其他应收</v>
          </cell>
          <cell r="AB4" t="str">
            <v>预收合计</v>
          </cell>
          <cell r="AC4" t="str">
            <v>预收账款</v>
          </cell>
          <cell r="AD4" t="str">
            <v>合同负债</v>
          </cell>
          <cell r="AE4" t="str">
            <v>应付合计</v>
          </cell>
          <cell r="AF4" t="str">
            <v>应付账款-应付CP/SP结算款</v>
          </cell>
          <cell r="AG4" t="str">
            <v>其他流动负债</v>
          </cell>
          <cell r="AH4" t="str">
            <v>递延收益</v>
          </cell>
          <cell r="AI4" t="str">
            <v>其他应付款（仅含其他应付款，不含省内往来）</v>
          </cell>
        </row>
        <row r="5">
          <cell r="C5" t="str">
            <v>口径</v>
          </cell>
          <cell r="D5" t="str">
            <v>预算</v>
          </cell>
        </row>
        <row r="5">
          <cell r="T5" t="str">
            <v>取科目："1121*"应收票据</v>
          </cell>
          <cell r="U5" t="str">
            <v>取科目："1122*"应收账款+"12310101*"坏账准备.本期计提.应收账款+"12310111*"坏账准备.本期计提.营业款结算+"12310201*"坏账准备.本期转回.应收账款+"12310301*"坏账准备.本期转销.应收账款+"12310401*"坏账准备.本期收回已转销坏账.应收账款+"12319001*"坏账准备.上期结转.应收账款+"1124*"营业款结算</v>
          </cell>
          <cell r="V5" t="str">
            <v>取科目："1126*"合同资产+"12310107*"坏账准备.本期计提.合同资产+"12310207*"坏账准备.本期转回.合同资产+"12310307*"坏账准备.本期转销.合同资产+"12310407*"坏账准备.本期收回已转销坏账.合同资产+"12319007*"坏账准备.上期结转.合同资产</v>
          </cell>
        </row>
        <row r="5">
          <cell r="Y5" t="str">
            <v>取科目："12310105*"坏账准备.本期计提.长期应收款+"12310205*"坏账准备.本期转回.长期应收款+"12310305*"坏账准备.本期转销.长期应收款+"12310405*"坏账准备.本期收回已转销坏账.长期应收款+"12319005*"坏账准备.上期结转.长期应收款+“1531*"长期应收款+"1532*"未实现融资收益</v>
          </cell>
          <cell r="Z5" t="str">
            <v>取科目："153101*"</v>
          </cell>
        </row>
        <row r="5">
          <cell r="AC5" t="str">
            <v>取科目："2204*"预收账款</v>
          </cell>
          <cell r="AD5" t="str">
            <v>取科目："2203*"合同负债</v>
          </cell>
        </row>
        <row r="5">
          <cell r="AF5" t="str">
            <v>取科目："2202140100*"</v>
          </cell>
          <cell r="AG5" t="str">
            <v>取科目：“250201”应付债券.短期融资券+"2102*"其他金融负债+"222124*"应交税费.待转销项税额</v>
          </cell>
          <cell r="AH5" t="str">
            <v>取科目："2401*"递延收益</v>
          </cell>
          <cell r="AI5" t="str">
            <v>取科目："2241*"-"224106*"</v>
          </cell>
        </row>
        <row r="6">
          <cell r="B6" t="str">
            <v>省公司本部</v>
          </cell>
          <cell r="C6">
            <v>15993.866497</v>
          </cell>
          <cell r="D6">
            <v>15993.866497</v>
          </cell>
          <cell r="E6">
            <v>0</v>
          </cell>
          <cell r="F6">
            <v>-1.56675370003246</v>
          </cell>
        </row>
        <row r="6">
          <cell r="H6">
            <v>-25058.449512</v>
          </cell>
          <cell r="I6">
            <v>24938.958446</v>
          </cell>
          <cell r="J6">
            <v>15993.866497</v>
          </cell>
          <cell r="K6">
            <v>0</v>
          </cell>
          <cell r="L6">
            <v>10.137025</v>
          </cell>
          <cell r="M6">
            <v>12424.031871</v>
          </cell>
          <cell r="N6">
            <v>-1977.428475</v>
          </cell>
          <cell r="O6">
            <v>0</v>
          </cell>
          <cell r="P6">
            <v>-960.421614</v>
          </cell>
          <cell r="Q6">
            <v>551.226858</v>
          </cell>
          <cell r="R6">
            <v>3814.960501</v>
          </cell>
          <cell r="S6">
            <v>8804.532333</v>
          </cell>
          <cell r="T6">
            <v>0</v>
          </cell>
          <cell r="U6">
            <v>8804.532333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-1243.099697</v>
          </cell>
          <cell r="AB6">
            <v>-21767.032258</v>
          </cell>
          <cell r="AC6">
            <v>262.0275</v>
          </cell>
          <cell r="AD6">
            <v>-22029.059758</v>
          </cell>
          <cell r="AE6">
            <v>-21818.569126</v>
          </cell>
          <cell r="AF6">
            <v>-15648.796803</v>
          </cell>
          <cell r="AG6">
            <v>-1397.513229</v>
          </cell>
          <cell r="AH6">
            <v>-4772.25909399999</v>
          </cell>
          <cell r="AI6">
            <v>-2665.33443899999</v>
          </cell>
        </row>
        <row r="7">
          <cell r="B7" t="str">
            <v>成都</v>
          </cell>
          <cell r="C7">
            <v>1035002.11179498</v>
          </cell>
          <cell r="D7">
            <v>1105436.451891</v>
          </cell>
          <cell r="E7">
            <v>70434.3400960211</v>
          </cell>
          <cell r="F7">
            <v>1.0794419323922</v>
          </cell>
          <cell r="G7">
            <v>3</v>
          </cell>
          <cell r="H7">
            <v>1117224.67958598</v>
          </cell>
          <cell r="I7">
            <v>1011209.95341398</v>
          </cell>
          <cell r="J7">
            <v>1035002.11179498</v>
          </cell>
          <cell r="K7">
            <v>26746.105271</v>
          </cell>
          <cell r="L7">
            <v>0.551301</v>
          </cell>
          <cell r="M7">
            <v>75.019203</v>
          </cell>
          <cell r="N7">
            <v>-2756.776698</v>
          </cell>
          <cell r="O7">
            <v>77.906667</v>
          </cell>
          <cell r="P7">
            <v>6464.037905</v>
          </cell>
          <cell r="Q7">
            <v>906.791488</v>
          </cell>
          <cell r="R7">
            <v>85760.628782</v>
          </cell>
          <cell r="S7">
            <v>4459.66935900001</v>
          </cell>
          <cell r="T7">
            <v>540.537077</v>
          </cell>
          <cell r="U7">
            <v>10496.975341</v>
          </cell>
          <cell r="V7">
            <v>-6577.843059</v>
          </cell>
          <cell r="W7">
            <v>0</v>
          </cell>
          <cell r="X7">
            <v>0</v>
          </cell>
          <cell r="Y7">
            <v>18679.784934</v>
          </cell>
          <cell r="Z7">
            <v>18679.784934</v>
          </cell>
          <cell r="AA7">
            <v>-65.4518820000006</v>
          </cell>
          <cell r="AB7">
            <v>-266.787487000005</v>
          </cell>
          <cell r="AC7">
            <v>1067.36087</v>
          </cell>
          <cell r="AD7">
            <v>-1334.14835700001</v>
          </cell>
          <cell r="AE7">
            <v>24448.383793</v>
          </cell>
          <cell r="AF7">
            <v>24760.528422</v>
          </cell>
          <cell r="AG7">
            <v>-773.044628999999</v>
          </cell>
          <cell r="AH7">
            <v>460.9</v>
          </cell>
          <cell r="AI7">
            <v>466.718561000012</v>
          </cell>
        </row>
        <row r="8">
          <cell r="B8" t="str">
            <v>自贡</v>
          </cell>
          <cell r="C8">
            <v>81589.1345996973</v>
          </cell>
          <cell r="D8">
            <v>82159.997718</v>
          </cell>
          <cell r="E8">
            <v>570.863118302742</v>
          </cell>
          <cell r="F8">
            <v>1.0903555794429</v>
          </cell>
          <cell r="G8">
            <v>2</v>
          </cell>
          <cell r="H8">
            <v>88961.1681326973</v>
          </cell>
          <cell r="I8">
            <v>79828.7976756973</v>
          </cell>
          <cell r="J8">
            <v>81589.1345996973</v>
          </cell>
          <cell r="K8">
            <v>2076.775405</v>
          </cell>
          <cell r="L8">
            <v>0.000921</v>
          </cell>
          <cell r="M8">
            <v>171.561963</v>
          </cell>
          <cell r="N8">
            <v>39.1823060000001</v>
          </cell>
          <cell r="O8">
            <v>-187.329919</v>
          </cell>
          <cell r="P8">
            <v>314.803999</v>
          </cell>
          <cell r="Q8">
            <v>21.780789</v>
          </cell>
          <cell r="R8">
            <v>7154.700672</v>
          </cell>
          <cell r="S8">
            <v>333.643435</v>
          </cell>
          <cell r="T8">
            <v>0</v>
          </cell>
          <cell r="U8">
            <v>414.914012</v>
          </cell>
          <cell r="V8">
            <v>-81.2705770000003</v>
          </cell>
          <cell r="W8">
            <v>0</v>
          </cell>
          <cell r="X8">
            <v>0</v>
          </cell>
          <cell r="Y8">
            <v>495.893039</v>
          </cell>
          <cell r="Z8">
            <v>495.893039</v>
          </cell>
          <cell r="AA8">
            <v>-47.907566</v>
          </cell>
          <cell r="AB8">
            <v>204.868245999999</v>
          </cell>
          <cell r="AC8">
            <v>154.282539</v>
          </cell>
          <cell r="AD8">
            <v>50.5857069999993</v>
          </cell>
          <cell r="AE8">
            <v>3551.653984</v>
          </cell>
          <cell r="AF8">
            <v>3624.293642</v>
          </cell>
          <cell r="AG8">
            <v>-60.201816</v>
          </cell>
          <cell r="AH8">
            <v>-12.437842</v>
          </cell>
          <cell r="AI8">
            <v>-1493.116576</v>
          </cell>
        </row>
        <row r="9">
          <cell r="B9" t="str">
            <v>攀枝花</v>
          </cell>
          <cell r="C9">
            <v>41681.5980668821</v>
          </cell>
          <cell r="D9">
            <v>41959.546965</v>
          </cell>
          <cell r="E9">
            <v>277.948898117906</v>
          </cell>
          <cell r="F9">
            <v>1.13082274852443</v>
          </cell>
          <cell r="G9">
            <v>1</v>
          </cell>
          <cell r="H9">
            <v>47134.4992888821</v>
          </cell>
          <cell r="I9">
            <v>41552.8604798821</v>
          </cell>
          <cell r="J9">
            <v>41681.5980668821</v>
          </cell>
          <cell r="K9">
            <v>1349.74585</v>
          </cell>
          <cell r="L9">
            <v>0.158613</v>
          </cell>
          <cell r="M9">
            <v>1.977942</v>
          </cell>
          <cell r="N9">
            <v>619.395601</v>
          </cell>
          <cell r="O9">
            <v>-1.867591</v>
          </cell>
          <cell r="P9">
            <v>612.406811</v>
          </cell>
          <cell r="Q9">
            <v>11.063113</v>
          </cell>
          <cell r="R9">
            <v>3583.813303</v>
          </cell>
          <cell r="S9">
            <v>-359.678709999999</v>
          </cell>
          <cell r="T9">
            <v>0</v>
          </cell>
          <cell r="U9">
            <v>-357.811118999999</v>
          </cell>
          <cell r="V9">
            <v>-1.86759100000001</v>
          </cell>
          <cell r="W9">
            <v>0</v>
          </cell>
          <cell r="X9">
            <v>0</v>
          </cell>
          <cell r="Y9">
            <v>141.464346</v>
          </cell>
          <cell r="Z9">
            <v>141.464346</v>
          </cell>
          <cell r="AA9">
            <v>-90.2200770000001</v>
          </cell>
          <cell r="AB9">
            <v>-325.864085</v>
          </cell>
          <cell r="AC9">
            <v>-4.497529</v>
          </cell>
          <cell r="AD9">
            <v>-321.366556</v>
          </cell>
          <cell r="AE9">
            <v>1762.073206</v>
          </cell>
          <cell r="AF9">
            <v>1805.135164</v>
          </cell>
          <cell r="AG9">
            <v>-43.061958</v>
          </cell>
          <cell r="AH9">
            <v>0</v>
          </cell>
          <cell r="AI9">
            <v>111.717598</v>
          </cell>
        </row>
        <row r="10">
          <cell r="B10" t="str">
            <v>泸州</v>
          </cell>
          <cell r="C10">
            <v>162553.548497828</v>
          </cell>
          <cell r="D10">
            <v>163549.273696</v>
          </cell>
          <cell r="E10">
            <v>995.725198171604</v>
          </cell>
          <cell r="F10">
            <v>1.04641882368444</v>
          </cell>
          <cell r="G10">
            <v>11</v>
          </cell>
          <cell r="H10">
            <v>170099.093004828</v>
          </cell>
          <cell r="I10">
            <v>157941.714839828</v>
          </cell>
          <cell r="J10">
            <v>162553.548497828</v>
          </cell>
          <cell r="K10">
            <v>4037.263433</v>
          </cell>
          <cell r="L10">
            <v>0.000709</v>
          </cell>
          <cell r="M10">
            <v>39.12039</v>
          </cell>
          <cell r="N10">
            <v>-1648.080175</v>
          </cell>
          <cell r="O10">
            <v>-409.73135</v>
          </cell>
          <cell r="P10">
            <v>2009.502486</v>
          </cell>
          <cell r="Q10">
            <v>565.382285</v>
          </cell>
          <cell r="R10">
            <v>12566.293131</v>
          </cell>
          <cell r="S10">
            <v>1491.008858</v>
          </cell>
          <cell r="T10">
            <v>0</v>
          </cell>
          <cell r="U10">
            <v>1068.43543</v>
          </cell>
          <cell r="V10">
            <v>422.573428</v>
          </cell>
          <cell r="W10">
            <v>0</v>
          </cell>
          <cell r="X10">
            <v>1.84741111297626e-13</v>
          </cell>
          <cell r="Y10">
            <v>-87.2314490000002</v>
          </cell>
          <cell r="Z10">
            <v>-87.2314490000004</v>
          </cell>
          <cell r="AA10">
            <v>6.840513</v>
          </cell>
          <cell r="AB10">
            <v>3719.350585</v>
          </cell>
          <cell r="AC10">
            <v>-31.425234</v>
          </cell>
          <cell r="AD10">
            <v>3750.775819</v>
          </cell>
          <cell r="AE10">
            <v>-123.302393</v>
          </cell>
          <cell r="AF10">
            <v>-173.701244</v>
          </cell>
          <cell r="AG10">
            <v>81.748174</v>
          </cell>
          <cell r="AH10">
            <v>-31.349323</v>
          </cell>
          <cell r="AI10">
            <v>-2507.113787</v>
          </cell>
        </row>
        <row r="11">
          <cell r="B11" t="str">
            <v>德阳</v>
          </cell>
          <cell r="C11">
            <v>108454.177515746</v>
          </cell>
          <cell r="D11">
            <v>111549.946245</v>
          </cell>
          <cell r="E11">
            <v>3095.76872925366</v>
          </cell>
          <cell r="F11">
            <v>1.0491866652368</v>
          </cell>
          <cell r="G11">
            <v>10</v>
          </cell>
          <cell r="H11">
            <v>113788.676838746</v>
          </cell>
          <cell r="I11">
            <v>104707.911135746</v>
          </cell>
          <cell r="J11">
            <v>108454.177515746</v>
          </cell>
          <cell r="K11">
            <v>2933.064982</v>
          </cell>
          <cell r="L11">
            <v>0.499478</v>
          </cell>
          <cell r="M11">
            <v>5.51573</v>
          </cell>
          <cell r="N11">
            <v>-1375.114849</v>
          </cell>
          <cell r="O11">
            <v>11.837</v>
          </cell>
          <cell r="P11">
            <v>925.037109</v>
          </cell>
          <cell r="Q11">
            <v>380.975866</v>
          </cell>
          <cell r="R11">
            <v>9359.8993</v>
          </cell>
          <cell r="S11">
            <v>1996.310367</v>
          </cell>
          <cell r="T11">
            <v>53.304933</v>
          </cell>
          <cell r="U11">
            <v>2450.33511</v>
          </cell>
          <cell r="V11">
            <v>-507.329676</v>
          </cell>
          <cell r="W11">
            <v>0</v>
          </cell>
          <cell r="X11">
            <v>0</v>
          </cell>
          <cell r="Y11">
            <v>931.963652</v>
          </cell>
          <cell r="Z11">
            <v>931.963652</v>
          </cell>
          <cell r="AA11">
            <v>-305.49986</v>
          </cell>
          <cell r="AB11">
            <v>465.396681000003</v>
          </cell>
          <cell r="AC11">
            <v>-82.616074</v>
          </cell>
          <cell r="AD11">
            <v>548.012755000003</v>
          </cell>
          <cell r="AE11">
            <v>1444.841251</v>
          </cell>
          <cell r="AF11">
            <v>1562.535742</v>
          </cell>
          <cell r="AG11">
            <v>-112.178761</v>
          </cell>
          <cell r="AH11">
            <v>-5.51573</v>
          </cell>
          <cell r="AI11">
            <v>-498.561022000001</v>
          </cell>
        </row>
        <row r="12">
          <cell r="B12" t="str">
            <v>绵阳</v>
          </cell>
          <cell r="C12">
            <v>181679.31450566</v>
          </cell>
          <cell r="D12">
            <v>183478.363204</v>
          </cell>
          <cell r="E12">
            <v>1799.04869834002</v>
          </cell>
          <cell r="F12">
            <v>1.03845968359145</v>
          </cell>
          <cell r="G12">
            <v>13</v>
          </cell>
          <cell r="H12">
            <v>188666.64345666</v>
          </cell>
          <cell r="I12">
            <v>175939.83689666</v>
          </cell>
          <cell r="J12">
            <v>181679.31450566</v>
          </cell>
          <cell r="K12">
            <v>5234.811066</v>
          </cell>
          <cell r="L12">
            <v>0.001785</v>
          </cell>
          <cell r="M12">
            <v>33.547503</v>
          </cell>
          <cell r="N12">
            <v>-1086.727378</v>
          </cell>
          <cell r="O12">
            <v>0.5358</v>
          </cell>
          <cell r="P12">
            <v>739.744145</v>
          </cell>
          <cell r="Q12">
            <v>191.768398</v>
          </cell>
          <cell r="R12">
            <v>14184.159498</v>
          </cell>
          <cell r="S12">
            <v>2731.400859</v>
          </cell>
          <cell r="T12">
            <v>-1.02802</v>
          </cell>
          <cell r="U12">
            <v>2755.393079</v>
          </cell>
          <cell r="V12">
            <v>-22.9642</v>
          </cell>
          <cell r="W12">
            <v>0</v>
          </cell>
          <cell r="X12">
            <v>0</v>
          </cell>
          <cell r="Y12">
            <v>37.309336</v>
          </cell>
          <cell r="Z12">
            <v>37.309336</v>
          </cell>
          <cell r="AA12">
            <v>-69.0209259999999</v>
          </cell>
          <cell r="AB12">
            <v>916.940004000004</v>
          </cell>
          <cell r="AC12">
            <v>118.333383</v>
          </cell>
          <cell r="AD12">
            <v>798.606621000004</v>
          </cell>
          <cell r="AE12">
            <v>1210.54193</v>
          </cell>
          <cell r="AF12">
            <v>1285.891802</v>
          </cell>
          <cell r="AG12">
            <v>-55.3913809999999</v>
          </cell>
          <cell r="AH12">
            <v>-19.958491</v>
          </cell>
          <cell r="AI12">
            <v>-922.454938999998</v>
          </cell>
        </row>
        <row r="13">
          <cell r="B13" t="str">
            <v>广元</v>
          </cell>
          <cell r="C13">
            <v>74002.6261510923</v>
          </cell>
          <cell r="D13">
            <v>74452.134851</v>
          </cell>
          <cell r="E13">
            <v>449.508699907689</v>
          </cell>
          <cell r="F13">
            <v>1.00101240384155</v>
          </cell>
          <cell r="G13">
            <v>18</v>
          </cell>
          <cell r="H13">
            <v>74077.5466940923</v>
          </cell>
          <cell r="I13">
            <v>72681.9342880923</v>
          </cell>
          <cell r="J13">
            <v>74002.6261510923</v>
          </cell>
          <cell r="K13">
            <v>2472.151146</v>
          </cell>
          <cell r="L13">
            <v>0.000176</v>
          </cell>
          <cell r="M13">
            <v>27.75767</v>
          </cell>
          <cell r="N13">
            <v>-303.333986</v>
          </cell>
          <cell r="O13">
            <v>7.79988</v>
          </cell>
          <cell r="P13">
            <v>1557.4146</v>
          </cell>
          <cell r="Q13">
            <v>138.179057</v>
          </cell>
          <cell r="R13">
            <v>5948.849999</v>
          </cell>
          <cell r="S13">
            <v>3169.50416</v>
          </cell>
          <cell r="T13">
            <v>0</v>
          </cell>
          <cell r="U13">
            <v>3503.80428</v>
          </cell>
          <cell r="V13">
            <v>-334.30012</v>
          </cell>
          <cell r="W13">
            <v>0</v>
          </cell>
          <cell r="X13">
            <v>0</v>
          </cell>
          <cell r="Y13">
            <v>1285.633374</v>
          </cell>
          <cell r="Z13">
            <v>1285.633374</v>
          </cell>
          <cell r="AA13">
            <v>-7.97442100000002</v>
          </cell>
          <cell r="AB13">
            <v>1598.21956</v>
          </cell>
          <cell r="AC13">
            <v>19.926656</v>
          </cell>
          <cell r="AD13">
            <v>1578.292904</v>
          </cell>
          <cell r="AE13">
            <v>-874.378238</v>
          </cell>
          <cell r="AF13">
            <v>-914.152973</v>
          </cell>
          <cell r="AG13">
            <v>60.24976</v>
          </cell>
          <cell r="AH13">
            <v>-20.475025</v>
          </cell>
          <cell r="AI13">
            <v>-2115.549176</v>
          </cell>
        </row>
        <row r="14">
          <cell r="B14" t="str">
            <v>遂宁</v>
          </cell>
          <cell r="C14">
            <v>74765.4419522697</v>
          </cell>
          <cell r="D14">
            <v>75356.89673</v>
          </cell>
          <cell r="E14">
            <v>591.454777730295</v>
          </cell>
          <cell r="F14">
            <v>1.06353304723367</v>
          </cell>
          <cell r="G14">
            <v>7</v>
          </cell>
          <cell r="H14">
            <v>79515.5183072697</v>
          </cell>
          <cell r="I14">
            <v>72462.7853202697</v>
          </cell>
          <cell r="J14">
            <v>74765.4419522697</v>
          </cell>
          <cell r="K14">
            <v>2156.324674</v>
          </cell>
          <cell r="L14">
            <v>0.016304</v>
          </cell>
          <cell r="M14">
            <v>5.395951</v>
          </cell>
          <cell r="N14">
            <v>-478.146712</v>
          </cell>
          <cell r="O14">
            <v>-5.672655</v>
          </cell>
          <cell r="P14">
            <v>439.421526</v>
          </cell>
          <cell r="Q14">
            <v>107.346372</v>
          </cell>
          <cell r="R14">
            <v>6192.267467</v>
          </cell>
          <cell r="S14">
            <v>1008.102378</v>
          </cell>
          <cell r="T14">
            <v>0</v>
          </cell>
          <cell r="U14">
            <v>446.509533</v>
          </cell>
          <cell r="V14">
            <v>561.592845</v>
          </cell>
          <cell r="W14">
            <v>0</v>
          </cell>
          <cell r="X14">
            <v>0</v>
          </cell>
          <cell r="Y14">
            <v>559.514152</v>
          </cell>
          <cell r="Z14">
            <v>559.514152</v>
          </cell>
          <cell r="AA14">
            <v>-54.522453</v>
          </cell>
          <cell r="AB14">
            <v>814.923211000001</v>
          </cell>
          <cell r="AC14">
            <v>-14.198691</v>
          </cell>
          <cell r="AD14">
            <v>829.121902000001</v>
          </cell>
          <cell r="AE14">
            <v>1144.346155</v>
          </cell>
          <cell r="AF14">
            <v>1184.406889</v>
          </cell>
          <cell r="AG14">
            <v>-38.560734</v>
          </cell>
          <cell r="AH14">
            <v>-1.5</v>
          </cell>
          <cell r="AI14">
            <v>-145.223920999999</v>
          </cell>
        </row>
        <row r="15">
          <cell r="B15" t="str">
            <v>内江</v>
          </cell>
          <cell r="C15">
            <v>87486.8093159926</v>
          </cell>
          <cell r="D15">
            <v>88127.902949</v>
          </cell>
          <cell r="E15">
            <v>641.09363300738</v>
          </cell>
          <cell r="F15">
            <v>1.06483285251052</v>
          </cell>
          <cell r="G15">
            <v>5</v>
          </cell>
          <cell r="H15">
            <v>93158.8287209926</v>
          </cell>
          <cell r="I15">
            <v>85654.3375969926</v>
          </cell>
          <cell r="J15">
            <v>87486.8093159926</v>
          </cell>
          <cell r="K15">
            <v>2309.344621</v>
          </cell>
          <cell r="L15">
            <v>0.001563</v>
          </cell>
          <cell r="M15">
            <v>9.48569</v>
          </cell>
          <cell r="N15">
            <v>-326.566159</v>
          </cell>
          <cell r="O15">
            <v>445.054128</v>
          </cell>
          <cell r="P15">
            <v>384.647039</v>
          </cell>
          <cell r="Q15">
            <v>35.749359</v>
          </cell>
          <cell r="R15">
            <v>6761.976625</v>
          </cell>
          <cell r="S15">
            <v>-330.532738</v>
          </cell>
          <cell r="T15">
            <v>0</v>
          </cell>
          <cell r="U15">
            <v>-110.431266</v>
          </cell>
          <cell r="V15">
            <v>-220.101472</v>
          </cell>
          <cell r="W15">
            <v>0</v>
          </cell>
          <cell r="X15">
            <v>0</v>
          </cell>
          <cell r="Y15">
            <v>944.405709</v>
          </cell>
          <cell r="Z15">
            <v>944.405709</v>
          </cell>
          <cell r="AA15">
            <v>96.573965</v>
          </cell>
          <cell r="AB15">
            <v>1082.523629</v>
          </cell>
          <cell r="AC15">
            <v>158.373596</v>
          </cell>
          <cell r="AD15">
            <v>924.150033000001</v>
          </cell>
          <cell r="AE15">
            <v>121.17158</v>
          </cell>
          <cell r="AF15">
            <v>129.803554</v>
          </cell>
          <cell r="AG15">
            <v>-5.51487399999993</v>
          </cell>
          <cell r="AH15">
            <v>-3.1171</v>
          </cell>
          <cell r="AI15">
            <v>-695.139483000001</v>
          </cell>
        </row>
        <row r="16">
          <cell r="B16" t="str">
            <v>乐山</v>
          </cell>
          <cell r="C16">
            <v>120556.022918018</v>
          </cell>
          <cell r="D16">
            <v>121499.216595</v>
          </cell>
          <cell r="E16">
            <v>943.193676981853</v>
          </cell>
          <cell r="F16">
            <v>1.03648283453238</v>
          </cell>
          <cell r="G16">
            <v>14</v>
          </cell>
          <cell r="H16">
            <v>124954.248354018</v>
          </cell>
          <cell r="I16">
            <v>118778.270934018</v>
          </cell>
          <cell r="J16">
            <v>120556.022918018</v>
          </cell>
          <cell r="K16">
            <v>3110.796418</v>
          </cell>
          <cell r="L16">
            <v>0.006429</v>
          </cell>
          <cell r="M16">
            <v>68.997382</v>
          </cell>
          <cell r="N16">
            <v>-776.550402</v>
          </cell>
          <cell r="O16">
            <v>-38.134046</v>
          </cell>
          <cell r="P16">
            <v>3766.480755</v>
          </cell>
          <cell r="Q16">
            <v>1687.755684</v>
          </cell>
          <cell r="R16">
            <v>9764.672341</v>
          </cell>
          <cell r="S16">
            <v>2374.087499</v>
          </cell>
          <cell r="T16">
            <v>0</v>
          </cell>
          <cell r="U16">
            <v>2444.830363</v>
          </cell>
          <cell r="V16">
            <v>-70.7428640000001</v>
          </cell>
          <cell r="W16">
            <v>0</v>
          </cell>
          <cell r="X16">
            <v>0</v>
          </cell>
          <cell r="Y16">
            <v>363.048948</v>
          </cell>
          <cell r="Z16">
            <v>363.048948</v>
          </cell>
          <cell r="AA16">
            <v>-15.126947</v>
          </cell>
          <cell r="AB16">
            <v>-937.510273000001</v>
          </cell>
          <cell r="AC16">
            <v>37.594831</v>
          </cell>
          <cell r="AD16">
            <v>-975.105104000001</v>
          </cell>
          <cell r="AE16">
            <v>1862.827055</v>
          </cell>
          <cell r="AF16">
            <v>2035.874291</v>
          </cell>
          <cell r="AG16">
            <v>-163.142661</v>
          </cell>
          <cell r="AH16">
            <v>-9.904575</v>
          </cell>
          <cell r="AI16">
            <v>-2155.051151</v>
          </cell>
        </row>
        <row r="17">
          <cell r="B17" t="str">
            <v>南充</v>
          </cell>
          <cell r="C17">
            <v>179641.910012241</v>
          </cell>
          <cell r="D17">
            <v>180953.72565</v>
          </cell>
          <cell r="E17">
            <v>1311.81563775896</v>
          </cell>
          <cell r="F17">
            <v>1.05667782976871</v>
          </cell>
          <cell r="G17">
            <v>9</v>
          </cell>
          <cell r="H17">
            <v>189823.623607241</v>
          </cell>
          <cell r="I17">
            <v>173474.686782241</v>
          </cell>
          <cell r="J17">
            <v>179641.910012241</v>
          </cell>
          <cell r="K17">
            <v>4909.124375</v>
          </cell>
          <cell r="L17">
            <v>0.011234</v>
          </cell>
          <cell r="M17">
            <v>34.453491</v>
          </cell>
          <cell r="N17">
            <v>-2185.16699</v>
          </cell>
          <cell r="O17">
            <v>-145.106205</v>
          </cell>
          <cell r="P17">
            <v>2376.959782</v>
          </cell>
          <cell r="Q17">
            <v>1339.250167</v>
          </cell>
          <cell r="R17">
            <v>14401.614747</v>
          </cell>
          <cell r="S17">
            <v>2961.261182</v>
          </cell>
          <cell r="T17">
            <v>0</v>
          </cell>
          <cell r="U17">
            <v>5446.782339</v>
          </cell>
          <cell r="V17">
            <v>-2485.521157</v>
          </cell>
          <cell r="W17">
            <v>0</v>
          </cell>
          <cell r="X17">
            <v>0</v>
          </cell>
          <cell r="Y17">
            <v>1988.7455</v>
          </cell>
          <cell r="Z17">
            <v>1988.7455</v>
          </cell>
          <cell r="AA17">
            <v>250.485222</v>
          </cell>
          <cell r="AB17">
            <v>2058.2005</v>
          </cell>
          <cell r="AC17">
            <v>128.34943</v>
          </cell>
          <cell r="AD17">
            <v>1929.85107</v>
          </cell>
          <cell r="AE17">
            <v>2735.116765</v>
          </cell>
          <cell r="AF17">
            <v>2768.515042</v>
          </cell>
          <cell r="AG17">
            <v>-75.3231149999998</v>
          </cell>
          <cell r="AH17">
            <v>41.924838</v>
          </cell>
          <cell r="AI17">
            <v>365.751216999996</v>
          </cell>
        </row>
        <row r="18">
          <cell r="B18" t="str">
            <v>眉山</v>
          </cell>
          <cell r="C18">
            <v>120948.418683953</v>
          </cell>
          <cell r="D18">
            <v>121139.315836</v>
          </cell>
          <cell r="E18">
            <v>190.897152046888</v>
          </cell>
          <cell r="F18">
            <v>0.980154292151002</v>
          </cell>
          <cell r="G18">
            <v>21</v>
          </cell>
          <cell r="H18">
            <v>118548.111701953</v>
          </cell>
          <cell r="I18">
            <v>120232.436053953</v>
          </cell>
          <cell r="J18">
            <v>120948.418683953</v>
          </cell>
          <cell r="K18">
            <v>3013.028861</v>
          </cell>
          <cell r="L18">
            <v>0.001107</v>
          </cell>
          <cell r="M18">
            <v>106.292969</v>
          </cell>
          <cell r="N18">
            <v>-1258.629936</v>
          </cell>
          <cell r="O18">
            <v>14.598762</v>
          </cell>
          <cell r="P18">
            <v>3845.990504</v>
          </cell>
          <cell r="Q18">
            <v>411.207175</v>
          </cell>
          <cell r="R18">
            <v>9990.34119</v>
          </cell>
          <cell r="S18">
            <v>5662.599709</v>
          </cell>
          <cell r="T18">
            <v>191.13136</v>
          </cell>
          <cell r="U18">
            <v>6097.166182</v>
          </cell>
          <cell r="V18">
            <v>-625.697833</v>
          </cell>
          <cell r="W18">
            <v>0</v>
          </cell>
          <cell r="X18">
            <v>0</v>
          </cell>
          <cell r="Y18">
            <v>1936.893136</v>
          </cell>
          <cell r="Z18">
            <v>1936.893136</v>
          </cell>
          <cell r="AA18">
            <v>87.3694970000002</v>
          </cell>
          <cell r="AB18">
            <v>-3185.089881</v>
          </cell>
          <cell r="AC18">
            <v>-217.066063</v>
          </cell>
          <cell r="AD18">
            <v>-2968.023818</v>
          </cell>
          <cell r="AE18">
            <v>1157.458495</v>
          </cell>
          <cell r="AF18">
            <v>1391.55053</v>
          </cell>
          <cell r="AG18">
            <v>-234.092035</v>
          </cell>
          <cell r="AH18">
            <v>0</v>
          </cell>
          <cell r="AI18">
            <v>-3897.06495</v>
          </cell>
        </row>
        <row r="19">
          <cell r="B19" t="str">
            <v>宜宾</v>
          </cell>
          <cell r="C19">
            <v>140557.378816239</v>
          </cell>
          <cell r="D19">
            <v>151007.377701</v>
          </cell>
          <cell r="E19">
            <v>10449.998884761</v>
          </cell>
          <cell r="F19">
            <v>1.00006823637493</v>
          </cell>
          <cell r="G19">
            <v>20</v>
          </cell>
          <cell r="H19">
            <v>140566.969942239</v>
          </cell>
          <cell r="I19">
            <v>136134.711272239</v>
          </cell>
          <cell r="J19">
            <v>140557.378816239</v>
          </cell>
          <cell r="K19">
            <v>4266.690736</v>
          </cell>
          <cell r="L19">
            <v>0.00396</v>
          </cell>
          <cell r="M19">
            <v>72.31521</v>
          </cell>
          <cell r="N19">
            <v>-1518.458633</v>
          </cell>
          <cell r="O19">
            <v>-0.816078</v>
          </cell>
          <cell r="P19">
            <v>1784.090763</v>
          </cell>
          <cell r="Q19">
            <v>493.11203</v>
          </cell>
          <cell r="R19">
            <v>11637.061686</v>
          </cell>
          <cell r="S19">
            <v>5671.217542</v>
          </cell>
          <cell r="T19">
            <v>0</v>
          </cell>
          <cell r="U19">
            <v>5394.83362</v>
          </cell>
          <cell r="V19">
            <v>276.383922</v>
          </cell>
          <cell r="W19">
            <v>0</v>
          </cell>
          <cell r="X19">
            <v>0</v>
          </cell>
          <cell r="Y19">
            <v>1048.208218</v>
          </cell>
          <cell r="Z19">
            <v>1048.208218</v>
          </cell>
          <cell r="AA19">
            <v>19.29478</v>
          </cell>
          <cell r="AB19">
            <v>-1309.504807</v>
          </cell>
          <cell r="AC19">
            <v>-45.914117</v>
          </cell>
          <cell r="AD19">
            <v>-1263.59069</v>
          </cell>
          <cell r="AE19">
            <v>-251.674903</v>
          </cell>
          <cell r="AF19">
            <v>12.955633</v>
          </cell>
          <cell r="AG19">
            <v>-201.487198</v>
          </cell>
          <cell r="AH19">
            <v>-63.143338</v>
          </cell>
          <cell r="AI19">
            <v>46.8890160000001</v>
          </cell>
        </row>
        <row r="20">
          <cell r="B20" t="str">
            <v>广安</v>
          </cell>
          <cell r="C20">
            <v>85384.9795560445</v>
          </cell>
          <cell r="D20">
            <v>86015.547532</v>
          </cell>
          <cell r="E20">
            <v>630.56797595555</v>
          </cell>
          <cell r="F20">
            <v>1.01305474884219</v>
          </cell>
          <cell r="G20">
            <v>17</v>
          </cell>
          <cell r="H20">
            <v>86499.6590190445</v>
          </cell>
          <cell r="I20">
            <v>82745.7939170445</v>
          </cell>
          <cell r="J20">
            <v>85384.9795560445</v>
          </cell>
          <cell r="K20">
            <v>2265.682337</v>
          </cell>
          <cell r="L20">
            <v>0.004384</v>
          </cell>
          <cell r="M20">
            <v>0</v>
          </cell>
          <cell r="N20">
            <v>-1003.77613</v>
          </cell>
          <cell r="O20">
            <v>0</v>
          </cell>
          <cell r="P20">
            <v>671.38065</v>
          </cell>
          <cell r="Q20">
            <v>41.112206</v>
          </cell>
          <cell r="R20">
            <v>6919.01446</v>
          </cell>
          <cell r="S20">
            <v>2838.532885</v>
          </cell>
          <cell r="T20">
            <v>0</v>
          </cell>
          <cell r="U20">
            <v>2838.532885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-175.812678</v>
          </cell>
          <cell r="AB20">
            <v>-272.286559</v>
          </cell>
          <cell r="AC20">
            <v>38.201689</v>
          </cell>
          <cell r="AD20">
            <v>-310.488248</v>
          </cell>
          <cell r="AE20">
            <v>2243.313919</v>
          </cell>
          <cell r="AF20">
            <v>2350.381329</v>
          </cell>
          <cell r="AG20">
            <v>-107.06741</v>
          </cell>
          <cell r="AH20">
            <v>0</v>
          </cell>
          <cell r="AI20">
            <v>-2473.456511</v>
          </cell>
        </row>
        <row r="21">
          <cell r="B21" t="str">
            <v>达州</v>
          </cell>
          <cell r="C21">
            <v>120354.808731422</v>
          </cell>
          <cell r="D21">
            <v>121160.707123</v>
          </cell>
          <cell r="E21">
            <v>805.898391577988</v>
          </cell>
          <cell r="F21">
            <v>1.04488838547412</v>
          </cell>
          <cell r="G21">
            <v>12</v>
          </cell>
          <cell r="H21">
            <v>125757.341779422</v>
          </cell>
          <cell r="I21">
            <v>115314.283411422</v>
          </cell>
          <cell r="J21">
            <v>120354.808731422</v>
          </cell>
          <cell r="K21">
            <v>3600.869518</v>
          </cell>
          <cell r="L21">
            <v>0</v>
          </cell>
          <cell r="M21">
            <v>8.887733</v>
          </cell>
          <cell r="N21">
            <v>-2122.415694</v>
          </cell>
          <cell r="O21">
            <v>-44.935012</v>
          </cell>
          <cell r="P21">
            <v>810.694204</v>
          </cell>
          <cell r="Q21">
            <v>91.887033</v>
          </cell>
          <cell r="R21">
            <v>9583.690248</v>
          </cell>
          <cell r="S21">
            <v>1670.586814</v>
          </cell>
          <cell r="T21">
            <v>190.52547</v>
          </cell>
          <cell r="U21">
            <v>1524.996356</v>
          </cell>
          <cell r="V21">
            <v>-44.9350120000001</v>
          </cell>
          <cell r="W21">
            <v>0</v>
          </cell>
          <cell r="X21">
            <v>0</v>
          </cell>
          <cell r="Y21">
            <v>388.73126</v>
          </cell>
          <cell r="Z21">
            <v>388.73126</v>
          </cell>
          <cell r="AA21">
            <v>-229.704151</v>
          </cell>
          <cell r="AB21">
            <v>1491.575861</v>
          </cell>
          <cell r="AC21">
            <v>377.914233</v>
          </cell>
          <cell r="AD21">
            <v>1113.661628</v>
          </cell>
          <cell r="AE21">
            <v>1602.558498</v>
          </cell>
          <cell r="AF21">
            <v>1506.851741</v>
          </cell>
          <cell r="AG21">
            <v>-61.093243</v>
          </cell>
          <cell r="AH21">
            <v>156.8</v>
          </cell>
          <cell r="AI21">
            <v>-793.883576000001</v>
          </cell>
        </row>
        <row r="22">
          <cell r="B22" t="str">
            <v>雅安</v>
          </cell>
          <cell r="C22">
            <v>55656.4640550355</v>
          </cell>
          <cell r="D22">
            <v>60842.274892</v>
          </cell>
          <cell r="E22">
            <v>5185.81083696448</v>
          </cell>
          <cell r="F22">
            <v>1.07253746817275</v>
          </cell>
          <cell r="G22">
            <v>4</v>
          </cell>
          <cell r="H22">
            <v>59693.6430450355</v>
          </cell>
          <cell r="I22">
            <v>54456.6213770355</v>
          </cell>
          <cell r="J22">
            <v>55656.4640550355</v>
          </cell>
          <cell r="K22">
            <v>1533.379193</v>
          </cell>
          <cell r="L22">
            <v>0.000118</v>
          </cell>
          <cell r="M22">
            <v>34.821417</v>
          </cell>
          <cell r="N22">
            <v>-156.050845</v>
          </cell>
          <cell r="O22">
            <v>7.096394</v>
          </cell>
          <cell r="P22">
            <v>523.634834</v>
          </cell>
          <cell r="Q22">
            <v>75.965403</v>
          </cell>
          <cell r="R22">
            <v>4715.437615</v>
          </cell>
          <cell r="S22">
            <v>-57.4867220000003</v>
          </cell>
          <cell r="T22">
            <v>0</v>
          </cell>
          <cell r="U22">
            <v>246.662253</v>
          </cell>
          <cell r="V22">
            <v>-304.148975</v>
          </cell>
          <cell r="W22">
            <v>0</v>
          </cell>
          <cell r="X22">
            <v>0</v>
          </cell>
          <cell r="Y22">
            <v>697.744385</v>
          </cell>
          <cell r="Z22">
            <v>697.744385</v>
          </cell>
          <cell r="AA22">
            <v>-40.774549</v>
          </cell>
          <cell r="AB22">
            <v>235.744503</v>
          </cell>
          <cell r="AC22">
            <v>-8.876034</v>
          </cell>
          <cell r="AD22">
            <v>244.620537</v>
          </cell>
          <cell r="AE22">
            <v>609.86693</v>
          </cell>
          <cell r="AF22">
            <v>658.45131</v>
          </cell>
          <cell r="AG22">
            <v>-13.762963</v>
          </cell>
          <cell r="AH22">
            <v>-34.821417</v>
          </cell>
          <cell r="AI22">
            <v>-422.288651000001</v>
          </cell>
        </row>
        <row r="23">
          <cell r="B23" t="str">
            <v>巴中</v>
          </cell>
          <cell r="C23">
            <v>77707.532493087</v>
          </cell>
          <cell r="D23">
            <v>78129.316771</v>
          </cell>
          <cell r="E23">
            <v>421.784277913029</v>
          </cell>
          <cell r="F23">
            <v>1.05712746680503</v>
          </cell>
          <cell r="G23">
            <v>8</v>
          </cell>
          <cell r="H23">
            <v>82146.766976087</v>
          </cell>
          <cell r="I23">
            <v>74011.253319087</v>
          </cell>
          <cell r="J23">
            <v>77707.532493087</v>
          </cell>
          <cell r="K23">
            <v>2740.738149</v>
          </cell>
          <cell r="L23">
            <v>0</v>
          </cell>
          <cell r="M23">
            <v>412.739716</v>
          </cell>
          <cell r="N23">
            <v>-1804.458951</v>
          </cell>
          <cell r="O23">
            <v>-21.337543</v>
          </cell>
          <cell r="P23">
            <v>580.122</v>
          </cell>
          <cell r="Q23">
            <v>122.606247</v>
          </cell>
          <cell r="R23">
            <v>6307.210651</v>
          </cell>
          <cell r="S23">
            <v>-61.2540260000002</v>
          </cell>
          <cell r="T23">
            <v>0</v>
          </cell>
          <cell r="U23">
            <v>-137.87491</v>
          </cell>
          <cell r="V23">
            <v>76.620884</v>
          </cell>
          <cell r="W23">
            <v>0</v>
          </cell>
          <cell r="X23">
            <v>0</v>
          </cell>
          <cell r="Y23">
            <v>4162.549812</v>
          </cell>
          <cell r="Z23">
            <v>4162.549812</v>
          </cell>
          <cell r="AA23">
            <v>148.236579</v>
          </cell>
          <cell r="AB23">
            <v>970.740402</v>
          </cell>
          <cell r="AC23">
            <v>13.7841</v>
          </cell>
          <cell r="AD23">
            <v>956.956302</v>
          </cell>
          <cell r="AE23">
            <v>1264.153237</v>
          </cell>
          <cell r="AF23">
            <v>1624.694721</v>
          </cell>
          <cell r="AG23">
            <v>37.316953</v>
          </cell>
          <cell r="AH23">
            <v>-397.858437</v>
          </cell>
          <cell r="AI23">
            <v>-319.608080000001</v>
          </cell>
        </row>
        <row r="24">
          <cell r="B24" t="str">
            <v>资阳</v>
          </cell>
          <cell r="C24">
            <v>61742.007236564</v>
          </cell>
          <cell r="D24">
            <v>61800.176034</v>
          </cell>
          <cell r="E24">
            <v>58.1687974359726</v>
          </cell>
          <cell r="F24">
            <v>1.06476884913505</v>
          </cell>
          <cell r="G24">
            <v>6</v>
          </cell>
          <cell r="H24">
            <v>65740.965988564</v>
          </cell>
          <cell r="I24">
            <v>58950.587776564</v>
          </cell>
          <cell r="J24">
            <v>61742.007236564</v>
          </cell>
          <cell r="K24">
            <v>2524.4164</v>
          </cell>
          <cell r="L24">
            <v>0.000392</v>
          </cell>
          <cell r="M24">
            <v>5.078734</v>
          </cell>
          <cell r="N24">
            <v>-459.908225</v>
          </cell>
          <cell r="O24">
            <v>8.12877</v>
          </cell>
          <cell r="P24">
            <v>190.924903</v>
          </cell>
          <cell r="Q24">
            <v>11.227634</v>
          </cell>
          <cell r="R24">
            <v>4962.741473</v>
          </cell>
          <cell r="S24">
            <v>378.711379</v>
          </cell>
          <cell r="T24">
            <v>0</v>
          </cell>
          <cell r="U24">
            <v>1183.459605</v>
          </cell>
          <cell r="V24">
            <v>-804.748226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-14.1623939999999</v>
          </cell>
          <cell r="AB24">
            <v>1136.598307</v>
          </cell>
          <cell r="AC24">
            <v>4.148159</v>
          </cell>
          <cell r="AD24">
            <v>1132.450148</v>
          </cell>
          <cell r="AE24">
            <v>1049.585526</v>
          </cell>
          <cell r="AF24">
            <v>1029.148967</v>
          </cell>
          <cell r="AG24">
            <v>20.436559</v>
          </cell>
          <cell r="AH24">
            <v>0</v>
          </cell>
          <cell r="AI24">
            <v>6.00189099999898</v>
          </cell>
        </row>
        <row r="25">
          <cell r="B25" t="str">
            <v>阿坝</v>
          </cell>
          <cell r="C25">
            <v>43837.1132383559</v>
          </cell>
          <cell r="D25">
            <v>44041.764955</v>
          </cell>
          <cell r="E25">
            <v>204.651716644133</v>
          </cell>
          <cell r="F25">
            <v>1.02748985104123</v>
          </cell>
          <cell r="G25">
            <v>15</v>
          </cell>
          <cell r="H25">
            <v>45042.1889513559</v>
          </cell>
          <cell r="I25">
            <v>43787.0464843559</v>
          </cell>
          <cell r="J25">
            <v>43837.1132383559</v>
          </cell>
          <cell r="K25">
            <v>1034.047814</v>
          </cell>
          <cell r="L25">
            <v>0.194708</v>
          </cell>
          <cell r="M25">
            <v>459.622933</v>
          </cell>
          <cell r="N25">
            <v>-763.036773</v>
          </cell>
          <cell r="O25">
            <v>0</v>
          </cell>
          <cell r="P25">
            <v>1290.070969</v>
          </cell>
          <cell r="Q25">
            <v>2.870777</v>
          </cell>
          <cell r="R25">
            <v>3766.341788</v>
          </cell>
          <cell r="S25">
            <v>770.322089</v>
          </cell>
          <cell r="T25">
            <v>0</v>
          </cell>
          <cell r="U25">
            <v>770.322089</v>
          </cell>
          <cell r="V25">
            <v>0</v>
          </cell>
          <cell r="W25">
            <v>0</v>
          </cell>
          <cell r="X25">
            <v>0</v>
          </cell>
          <cell r="Y25">
            <v>238.441369</v>
          </cell>
          <cell r="Z25">
            <v>238.441369</v>
          </cell>
          <cell r="AA25">
            <v>150.180213</v>
          </cell>
          <cell r="AB25">
            <v>-364.097665000001</v>
          </cell>
          <cell r="AC25">
            <v>64.2995619999999</v>
          </cell>
          <cell r="AD25">
            <v>-428.397227000001</v>
          </cell>
          <cell r="AE25">
            <v>-714.421885</v>
          </cell>
          <cell r="AF25">
            <v>-269.046718</v>
          </cell>
          <cell r="AG25">
            <v>-42.152234</v>
          </cell>
          <cell r="AH25">
            <v>-403.222933</v>
          </cell>
          <cell r="AI25">
            <v>-512.177468999999</v>
          </cell>
        </row>
        <row r="26">
          <cell r="B26" t="str">
            <v>甘孜</v>
          </cell>
          <cell r="C26">
            <v>57221.629940173</v>
          </cell>
          <cell r="D26">
            <v>57621.341237</v>
          </cell>
          <cell r="E26">
            <v>399.711296827025</v>
          </cell>
          <cell r="F26">
            <v>1.00037811752344</v>
          </cell>
          <cell r="G26">
            <v>19</v>
          </cell>
          <cell r="H26">
            <v>57243.266441173</v>
          </cell>
          <cell r="I26">
            <v>55976.822385173</v>
          </cell>
          <cell r="J26">
            <v>57221.629940173</v>
          </cell>
          <cell r="K26">
            <v>1293.529225</v>
          </cell>
          <cell r="L26">
            <v>0</v>
          </cell>
          <cell r="M26">
            <v>150.1</v>
          </cell>
          <cell r="N26">
            <v>-781.631536</v>
          </cell>
          <cell r="O26">
            <v>-20.562859</v>
          </cell>
          <cell r="P26">
            <v>716.142421</v>
          </cell>
          <cell r="Q26">
            <v>15.326356</v>
          </cell>
          <cell r="R26">
            <v>4653.450562</v>
          </cell>
          <cell r="S26">
            <v>2256.967604</v>
          </cell>
          <cell r="T26">
            <v>0</v>
          </cell>
          <cell r="U26">
            <v>2277.530463</v>
          </cell>
          <cell r="V26">
            <v>-20.562859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27.693898</v>
          </cell>
          <cell r="AB26">
            <v>800.222106000001</v>
          </cell>
          <cell r="AC26">
            <v>348.23637</v>
          </cell>
          <cell r="AD26">
            <v>451.985736000001</v>
          </cell>
          <cell r="AE26">
            <v>-284.95175</v>
          </cell>
          <cell r="AF26">
            <v>-143.764116</v>
          </cell>
          <cell r="AG26">
            <v>8.91236600000001</v>
          </cell>
          <cell r="AH26">
            <v>-150.1</v>
          </cell>
          <cell r="AI26">
            <v>-1617.61536</v>
          </cell>
        </row>
        <row r="27">
          <cell r="B27" t="str">
            <v>凉山</v>
          </cell>
          <cell r="C27">
            <v>140988.952175012</v>
          </cell>
          <cell r="D27">
            <v>141801.467581</v>
          </cell>
          <cell r="E27">
            <v>812.515405988252</v>
          </cell>
          <cell r="F27">
            <v>1.01750445730625</v>
          </cell>
          <cell r="G27">
            <v>16</v>
          </cell>
          <cell r="H27">
            <v>143456.887269012</v>
          </cell>
          <cell r="I27">
            <v>135444.461770012</v>
          </cell>
          <cell r="J27">
            <v>140988.952175012</v>
          </cell>
          <cell r="K27">
            <v>4052.945892</v>
          </cell>
          <cell r="L27">
            <v>0</v>
          </cell>
          <cell r="M27">
            <v>21.215972</v>
          </cell>
          <cell r="N27">
            <v>-1518.719154</v>
          </cell>
          <cell r="O27">
            <v>-226.32876</v>
          </cell>
          <cell r="P27">
            <v>365.091986</v>
          </cell>
          <cell r="Q27">
            <v>132.804557</v>
          </cell>
          <cell r="R27">
            <v>11376.880225</v>
          </cell>
          <cell r="S27">
            <v>5337.92716</v>
          </cell>
          <cell r="T27">
            <v>0</v>
          </cell>
          <cell r="U27">
            <v>5564.25592</v>
          </cell>
          <cell r="V27">
            <v>-226.32876</v>
          </cell>
          <cell r="W27">
            <v>0</v>
          </cell>
          <cell r="X27">
            <v>0</v>
          </cell>
          <cell r="Y27">
            <v>1304.631784</v>
          </cell>
          <cell r="Z27">
            <v>1304.631784</v>
          </cell>
          <cell r="AA27">
            <v>-334.821268</v>
          </cell>
          <cell r="AB27">
            <v>-1387.968463</v>
          </cell>
          <cell r="AC27">
            <v>-302.486409</v>
          </cell>
          <cell r="AD27">
            <v>-1085.482054</v>
          </cell>
          <cell r="AE27">
            <v>2602.675448</v>
          </cell>
          <cell r="AF27">
            <v>2806.432892</v>
          </cell>
          <cell r="AG27">
            <v>-198.301764</v>
          </cell>
          <cell r="AH27">
            <v>-5.45568000000007</v>
          </cell>
          <cell r="AI27">
            <v>423.944180999998</v>
          </cell>
        </row>
        <row r="28">
          <cell r="B28" t="str">
            <v>市州合计</v>
          </cell>
          <cell r="C28">
            <v>3051811.98025629</v>
          </cell>
          <cell r="D28">
            <v>3152082.746156</v>
          </cell>
          <cell r="E28">
            <v>100270.765899708</v>
          </cell>
          <cell r="F28">
            <v>1.05252235323997</v>
          </cell>
        </row>
        <row r="28">
          <cell r="H28">
            <v>3212100.32710529</v>
          </cell>
          <cell r="I28">
            <v>2971287.10713029</v>
          </cell>
          <cell r="J28">
            <v>3051811.98025629</v>
          </cell>
          <cell r="K28">
            <v>83660.835366</v>
          </cell>
          <cell r="L28">
            <v>1.453182</v>
          </cell>
          <cell r="M28">
            <v>1743.907599</v>
          </cell>
          <cell r="N28">
            <v>-21664.971319</v>
          </cell>
          <cell r="O28">
            <v>-528.864617</v>
          </cell>
          <cell r="P28">
            <v>30368.599391</v>
          </cell>
          <cell r="Q28">
            <v>6784.161996</v>
          </cell>
          <cell r="R28">
            <v>249591.045763</v>
          </cell>
          <cell r="S28">
            <v>44302.901083</v>
          </cell>
          <cell r="T28">
            <v>974.47082</v>
          </cell>
          <cell r="U28">
            <v>54319.621565</v>
          </cell>
          <cell r="V28">
            <v>-10991.191302</v>
          </cell>
          <cell r="W28">
            <v>0</v>
          </cell>
          <cell r="X28">
            <v>1.84741111297626e-13</v>
          </cell>
          <cell r="Y28">
            <v>35117.731505</v>
          </cell>
          <cell r="Z28">
            <v>35117.731505</v>
          </cell>
          <cell r="AA28">
            <v>-664.324505</v>
          </cell>
          <cell r="AB28">
            <v>7446.19437500001</v>
          </cell>
          <cell r="AC28">
            <v>1823.725267</v>
          </cell>
          <cell r="AD28">
            <v>5622.469108</v>
          </cell>
          <cell r="AE28">
            <v>46561.838603</v>
          </cell>
          <cell r="AF28">
            <v>49036.78662</v>
          </cell>
          <cell r="AG28">
            <v>-1975.712964</v>
          </cell>
          <cell r="AH28">
            <v>-499.235053000001</v>
          </cell>
          <cell r="AI28">
            <v>-19147.282188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市州营业收现率12月预计完成"/>
      <sheetName val="市州营业收现率202412完成"/>
      <sheetName val="科目余额表"/>
    </sheetNames>
    <sheetDataSet>
      <sheetData sheetId="0"/>
      <sheetData sheetId="1">
        <row r="1">
          <cell r="B1" t="str">
            <v>单位</v>
          </cell>
          <cell r="C1" t="str">
            <v>营业总收入（不含IDC）</v>
          </cell>
          <cell r="D1" t="str">
            <v>收入基础数据</v>
          </cell>
        </row>
        <row r="2">
          <cell r="F2" t="str">
            <v>营业收现率</v>
          </cell>
        </row>
        <row r="2">
          <cell r="H2" t="str">
            <v>一、收入及销项税</v>
          </cell>
        </row>
        <row r="2">
          <cell r="R2" t="str">
            <v>二、资产类</v>
          </cell>
        </row>
        <row r="2">
          <cell r="AA2" t="str">
            <v>三、负债类</v>
          </cell>
        </row>
        <row r="3">
          <cell r="H3" t="str">
            <v>1.收入</v>
          </cell>
        </row>
        <row r="3">
          <cell r="Q3" t="str">
            <v>2.销项税</v>
          </cell>
          <cell r="R3" t="str">
            <v>3.应收款项</v>
          </cell>
        </row>
        <row r="3">
          <cell r="W3" t="str">
            <v>4.长期应收</v>
          </cell>
        </row>
        <row r="3">
          <cell r="Z3" t="str">
            <v>5.其他应收</v>
          </cell>
          <cell r="AA3" t="str">
            <v>6.预收款项</v>
          </cell>
        </row>
        <row r="3">
          <cell r="AD3" t="str">
            <v>7.应付款项</v>
          </cell>
        </row>
        <row r="3">
          <cell r="AH3" t="str">
            <v>8.其他应付款</v>
          </cell>
        </row>
        <row r="4">
          <cell r="C4" t="str">
            <v>总收入</v>
          </cell>
          <cell r="D4" t="str">
            <v>营业总收入-财报</v>
          </cell>
          <cell r="E4" t="str">
            <v>云锦直销IDC收入</v>
          </cell>
          <cell r="F4" t="str">
            <v>营业收现率完成</v>
          </cell>
          <cell r="G4" t="str">
            <v>经营活动现金流入完成</v>
          </cell>
          <cell r="H4" t="str">
            <v>营运资金变动前的经营收入</v>
          </cell>
          <cell r="I4" t="str">
            <v>营业收入</v>
          </cell>
          <cell r="J4" t="str">
            <v>减：境内运营商网间结算支出&amp;短信及彩信结算支出</v>
          </cell>
          <cell r="K4" t="str">
            <v>利息收入</v>
          </cell>
          <cell r="L4" t="str">
            <v>其他收益</v>
          </cell>
          <cell r="M4" t="str">
            <v>信用减值损失</v>
          </cell>
          <cell r="N4" t="str">
            <v>合同减值损失</v>
          </cell>
          <cell r="O4" t="str">
            <v>营业外收入</v>
          </cell>
          <cell r="P4" t="str">
            <v>减：报废长期资产利得/无法支付的应付款项</v>
          </cell>
          <cell r="Q4" t="str">
            <v>本期发生的增值税销项税额</v>
          </cell>
          <cell r="R4" t="str">
            <v>应收合计</v>
          </cell>
          <cell r="S4" t="str">
            <v>应收票据</v>
          </cell>
          <cell r="T4" t="str">
            <v>应收账款</v>
          </cell>
          <cell r="U4" t="str">
            <v>合同资产</v>
          </cell>
          <cell r="V4" t="str">
            <v>应收利息</v>
          </cell>
          <cell r="W4" t="str">
            <v>长期应收合计</v>
          </cell>
          <cell r="X4" t="str">
            <v>长期应收
（未区分一年以上和一年以内）</v>
          </cell>
          <cell r="Y4" t="str">
            <v>减：手机终端融资租赁</v>
          </cell>
          <cell r="Z4" t="str">
            <v>其他应收</v>
          </cell>
          <cell r="AA4" t="str">
            <v>预收合计</v>
          </cell>
          <cell r="AB4" t="str">
            <v>预收账款</v>
          </cell>
          <cell r="AC4" t="str">
            <v>合同负债</v>
          </cell>
          <cell r="AD4" t="str">
            <v>应付合计</v>
          </cell>
          <cell r="AE4" t="str">
            <v>应付账款-应付CP/SP结算款</v>
          </cell>
          <cell r="AF4" t="str">
            <v>其他流动负债</v>
          </cell>
          <cell r="AG4" t="str">
            <v>递延收益</v>
          </cell>
          <cell r="AH4" t="str">
            <v>其他应付款（仅含其他应付款，不含省内往来）</v>
          </cell>
        </row>
        <row r="5">
          <cell r="C5" t="str">
            <v>口径（取2024年实际完成值-已剔除IDC）</v>
          </cell>
          <cell r="D5" t="str">
            <v>预算</v>
          </cell>
        </row>
        <row r="5">
          <cell r="S5" t="str">
            <v>取科目："1121*"应收票据</v>
          </cell>
          <cell r="T5" t="str">
            <v>取科目："1122*"应收账款+"12310101*"坏账准备.本期计提.应收账款+"12310111*"坏账准备.本期计提.营业款结算+"12310201*"坏账准备.本期转回.应收账款+"12310301*"坏账准备.本期转销.应收账款+"12310401*"坏账准备.本期收回已转销坏账.应收账款+"12319001*"坏账准备.上期结转.应收账款+"1124*"营业款结算</v>
          </cell>
          <cell r="U5" t="str">
            <v>取科目："1126*"合同资产+"12310107*"坏账准备.本期计提.合同资产+"12310207*"坏账准备.本期转回.合同资产+"12310307*"坏账准备.本期转销.合同资产+"12310407*"坏账准备.本期收回已转销坏账.合同资产+"12319007*"坏账准备.上期结转.合同资产</v>
          </cell>
        </row>
        <row r="5">
          <cell r="X5" t="str">
            <v>取科目："12310105*"坏账准备.本期计提.长期应收款+"12310205*"坏账准备.本期转回.长期应收款+"12310305*"坏账准备.本期转销.长期应收款+"12310405*"坏账准备.本期收回已转销坏账.长期应收款+"12319005*"坏账准备.上期结转.长期应收款+“1531*"长期应收款+"1532*"未实现融资收益</v>
          </cell>
          <cell r="Y5" t="str">
            <v>取科目："153101*"</v>
          </cell>
        </row>
        <row r="5">
          <cell r="AB5" t="str">
            <v>取科目："2204*"预收账款</v>
          </cell>
          <cell r="AC5" t="str">
            <v>取科目："2203*"合同负债</v>
          </cell>
        </row>
        <row r="5">
          <cell r="AE5" t="str">
            <v>取科目："2202140100*"</v>
          </cell>
          <cell r="AF5" t="str">
            <v>取科目：“250201”应付债券.短期融资券+"2102*"其他金融负债+"222124*"应交税费.待转销项税额</v>
          </cell>
          <cell r="AG5" t="str">
            <v>取科目："2401*"递延收益</v>
          </cell>
          <cell r="AH5" t="str">
            <v>取科目："2241*"-"224106*"</v>
          </cell>
        </row>
        <row r="6">
          <cell r="B6" t="str">
            <v>省公司本部</v>
          </cell>
        </row>
        <row r="6">
          <cell r="D6">
            <v>18575.574096</v>
          </cell>
        </row>
        <row r="6">
          <cell r="F6" t="e">
            <v>#DIV/0!</v>
          </cell>
          <cell r="G6">
            <v>79719.977527</v>
          </cell>
          <cell r="H6">
            <v>41925.787857</v>
          </cell>
          <cell r="I6">
            <v>18575.574096</v>
          </cell>
          <cell r="J6">
            <v>-4.19095158576965e-13</v>
          </cell>
          <cell r="K6">
            <v>17.979484</v>
          </cell>
          <cell r="L6">
            <v>23425.607027</v>
          </cell>
          <cell r="M6">
            <v>-1850.231199</v>
          </cell>
          <cell r="N6">
            <v>0</v>
          </cell>
          <cell r="O6">
            <v>1941.727583</v>
          </cell>
          <cell r="P6">
            <v>184.869134</v>
          </cell>
          <cell r="Q6">
            <v>0</v>
          </cell>
          <cell r="R6">
            <v>-2408.99141499999</v>
          </cell>
          <cell r="S6">
            <v>0</v>
          </cell>
          <cell r="T6">
            <v>-2408.99134199999</v>
          </cell>
          <cell r="U6">
            <v>0</v>
          </cell>
          <cell r="V6">
            <v>-7.3e-5</v>
          </cell>
          <cell r="W6">
            <v>0</v>
          </cell>
          <cell r="X6">
            <v>0</v>
          </cell>
          <cell r="Y6">
            <v>0</v>
          </cell>
          <cell r="Z6">
            <v>-964.07191</v>
          </cell>
          <cell r="AA6">
            <v>13635.992549</v>
          </cell>
          <cell r="AB6">
            <v>312.665001</v>
          </cell>
          <cell r="AC6">
            <v>13323.327548</v>
          </cell>
          <cell r="AD6">
            <v>31943.411601</v>
          </cell>
          <cell r="AE6">
            <v>44677.944964</v>
          </cell>
          <cell r="AF6">
            <v>785.356787</v>
          </cell>
          <cell r="AG6">
            <v>-13519.89015</v>
          </cell>
          <cell r="AH6">
            <v>-11158.277805</v>
          </cell>
        </row>
        <row r="7">
          <cell r="B7" t="str">
            <v>成都</v>
          </cell>
          <cell r="C7">
            <v>1022865.12213204</v>
          </cell>
          <cell r="D7">
            <v>1098830.305866</v>
          </cell>
        </row>
        <row r="7">
          <cell r="F7">
            <v>1.05145145824042</v>
          </cell>
          <cell r="G7">
            <v>1075493.024249</v>
          </cell>
          <cell r="H7">
            <v>1074335.377711</v>
          </cell>
          <cell r="I7">
            <v>1098830.305866</v>
          </cell>
          <cell r="J7">
            <v>27079.822743</v>
          </cell>
          <cell r="K7">
            <v>1.375528</v>
          </cell>
          <cell r="L7">
            <v>37.798311</v>
          </cell>
          <cell r="M7">
            <v>-676.085275</v>
          </cell>
          <cell r="N7">
            <v>-98.704834</v>
          </cell>
          <cell r="O7">
            <v>3320.510858</v>
          </cell>
          <cell r="P7">
            <v>0</v>
          </cell>
          <cell r="Q7">
            <v>170.262529</v>
          </cell>
          <cell r="R7">
            <v>18558.049201</v>
          </cell>
          <cell r="S7">
            <v>168.309806</v>
          </cell>
          <cell r="T7">
            <v>10893.346651</v>
          </cell>
          <cell r="U7">
            <v>7496.392744</v>
          </cell>
          <cell r="V7">
            <v>0</v>
          </cell>
          <cell r="W7">
            <v>0</v>
          </cell>
          <cell r="X7">
            <v>67.77944</v>
          </cell>
          <cell r="Y7">
            <v>67.77944</v>
          </cell>
          <cell r="Z7">
            <v>-1606.587803</v>
          </cell>
          <cell r="AA7">
            <v>7264.46996600003</v>
          </cell>
          <cell r="AB7">
            <v>-228.265232</v>
          </cell>
          <cell r="AC7">
            <v>7492.73519800003</v>
          </cell>
          <cell r="AD7">
            <v>10214.424986</v>
          </cell>
          <cell r="AE7">
            <v>9887.950396</v>
          </cell>
          <cell r="AF7">
            <v>308.794589999999</v>
          </cell>
          <cell r="AG7">
            <v>17.68</v>
          </cell>
          <cell r="AH7">
            <v>459.950454999984</v>
          </cell>
        </row>
        <row r="8">
          <cell r="B8" t="str">
            <v>自贡</v>
          </cell>
          <cell r="C8">
            <v>79631.986928</v>
          </cell>
          <cell r="D8">
            <v>79860.666928</v>
          </cell>
        </row>
        <row r="8">
          <cell r="F8">
            <v>1.01862204010231</v>
          </cell>
          <cell r="G8">
            <v>81114.896982</v>
          </cell>
          <cell r="H8">
            <v>76237.146619</v>
          </cell>
          <cell r="I8">
            <v>79860.666928</v>
          </cell>
          <cell r="J8">
            <v>2182.356478</v>
          </cell>
          <cell r="K8">
            <v>0.000385</v>
          </cell>
          <cell r="L8">
            <v>15.111748</v>
          </cell>
          <cell r="M8">
            <v>-1212.244093</v>
          </cell>
          <cell r="N8">
            <v>-346.151758</v>
          </cell>
          <cell r="O8">
            <v>102.125902</v>
          </cell>
          <cell r="P8">
            <v>0.006015</v>
          </cell>
          <cell r="Q8">
            <v>8.916427</v>
          </cell>
          <cell r="R8">
            <v>2154.457537</v>
          </cell>
          <cell r="S8">
            <v>0</v>
          </cell>
          <cell r="T8">
            <v>812.001853999999</v>
          </cell>
          <cell r="U8">
            <v>1342.455683</v>
          </cell>
          <cell r="V8">
            <v>0</v>
          </cell>
          <cell r="W8">
            <v>0</v>
          </cell>
          <cell r="X8">
            <v>936.350853</v>
          </cell>
          <cell r="Y8">
            <v>936.350853</v>
          </cell>
          <cell r="Z8">
            <v>-6.82045600000006</v>
          </cell>
          <cell r="AA8">
            <v>3448.732942</v>
          </cell>
          <cell r="AB8">
            <v>155.642519</v>
          </cell>
          <cell r="AC8">
            <v>3293.090423</v>
          </cell>
          <cell r="AD8">
            <v>2954.370827</v>
          </cell>
          <cell r="AE8">
            <v>2782.670785</v>
          </cell>
          <cell r="AF8">
            <v>184.138062</v>
          </cell>
          <cell r="AG8">
            <v>-12.43802</v>
          </cell>
          <cell r="AH8">
            <v>613.367248000001</v>
          </cell>
        </row>
        <row r="9">
          <cell r="B9" t="str">
            <v>攀枝花</v>
          </cell>
          <cell r="C9">
            <v>39056.357676</v>
          </cell>
          <cell r="D9">
            <v>39146.457676</v>
          </cell>
        </row>
        <row r="9">
          <cell r="F9">
            <v>1.05047871177223</v>
          </cell>
          <cell r="G9">
            <v>41027.872298</v>
          </cell>
          <cell r="H9">
            <v>37066.663649</v>
          </cell>
          <cell r="I9">
            <v>39146.457676</v>
          </cell>
          <cell r="J9">
            <v>1402.230259</v>
          </cell>
          <cell r="K9">
            <v>0.262139</v>
          </cell>
          <cell r="L9">
            <v>1.671745</v>
          </cell>
          <cell r="M9">
            <v>-773.90871</v>
          </cell>
          <cell r="N9">
            <v>-0.933796</v>
          </cell>
          <cell r="O9">
            <v>144.890731</v>
          </cell>
          <cell r="P9">
            <v>49.545877</v>
          </cell>
          <cell r="Q9">
            <v>0</v>
          </cell>
          <cell r="R9">
            <v>-1016.166246</v>
          </cell>
          <cell r="S9">
            <v>0</v>
          </cell>
          <cell r="T9">
            <v>-1108.611997</v>
          </cell>
          <cell r="U9">
            <v>92.445751</v>
          </cell>
          <cell r="V9">
            <v>0</v>
          </cell>
          <cell r="W9">
            <v>0</v>
          </cell>
          <cell r="X9">
            <v>12.965925</v>
          </cell>
          <cell r="Y9">
            <v>12.965925</v>
          </cell>
          <cell r="Z9">
            <v>17.236626</v>
          </cell>
          <cell r="AA9">
            <v>1379.411193</v>
          </cell>
          <cell r="AB9">
            <v>22.57857</v>
          </cell>
          <cell r="AC9">
            <v>1356.832623</v>
          </cell>
          <cell r="AD9">
            <v>1411.967512</v>
          </cell>
          <cell r="AE9">
            <v>1354.376152</v>
          </cell>
          <cell r="AF9">
            <v>57.59136</v>
          </cell>
          <cell r="AG9">
            <v>0</v>
          </cell>
          <cell r="AH9">
            <v>170.900324</v>
          </cell>
        </row>
        <row r="10">
          <cell r="B10" t="str">
            <v>泸州</v>
          </cell>
          <cell r="C10">
            <v>163512.150081</v>
          </cell>
          <cell r="D10">
            <v>163875.760081</v>
          </cell>
        </row>
        <row r="10">
          <cell r="F10">
            <v>0.989901414652171</v>
          </cell>
          <cell r="G10">
            <v>161860.908678</v>
          </cell>
          <cell r="H10">
            <v>159822.971829</v>
          </cell>
          <cell r="I10">
            <v>163875.760081</v>
          </cell>
          <cell r="J10">
            <v>4226.482838</v>
          </cell>
          <cell r="K10">
            <v>0.002217</v>
          </cell>
          <cell r="L10">
            <v>34.723362</v>
          </cell>
          <cell r="M10">
            <v>-1107.961154</v>
          </cell>
          <cell r="N10">
            <v>-26.2884</v>
          </cell>
          <cell r="O10">
            <v>1288.559883</v>
          </cell>
          <cell r="P10">
            <v>15.341322</v>
          </cell>
          <cell r="Q10">
            <v>17.5374</v>
          </cell>
          <cell r="R10">
            <v>3565.131318</v>
          </cell>
          <cell r="S10">
            <v>0</v>
          </cell>
          <cell r="T10">
            <v>2438.419718</v>
          </cell>
          <cell r="U10">
            <v>1126.7116</v>
          </cell>
          <cell r="V10">
            <v>0</v>
          </cell>
          <cell r="W10">
            <v>0</v>
          </cell>
          <cell r="X10">
            <v>3941.556498</v>
          </cell>
          <cell r="Y10">
            <v>3941.556498</v>
          </cell>
          <cell r="Z10">
            <v>-90.71236</v>
          </cell>
          <cell r="AA10">
            <v>3281.803801</v>
          </cell>
          <cell r="AB10">
            <v>64.96455</v>
          </cell>
          <cell r="AC10">
            <v>3216.839251</v>
          </cell>
          <cell r="AD10">
            <v>1517.798471</v>
          </cell>
          <cell r="AE10">
            <v>1334.878849</v>
          </cell>
          <cell r="AF10">
            <v>211.394276</v>
          </cell>
          <cell r="AG10">
            <v>-28.474654</v>
          </cell>
          <cell r="AH10">
            <v>695.216135000001</v>
          </cell>
        </row>
        <row r="11">
          <cell r="B11" t="str">
            <v>德阳</v>
          </cell>
          <cell r="C11">
            <v>112625.500822</v>
          </cell>
          <cell r="D11">
            <v>113318.790822</v>
          </cell>
        </row>
        <row r="11">
          <cell r="F11">
            <v>0.997399058305073</v>
          </cell>
          <cell r="G11">
            <v>112332.568461</v>
          </cell>
          <cell r="H11">
            <v>109443.919745</v>
          </cell>
          <cell r="I11">
            <v>113318.790822</v>
          </cell>
          <cell r="J11">
            <v>3072.148134</v>
          </cell>
          <cell r="K11">
            <v>0.010706</v>
          </cell>
          <cell r="L11">
            <v>10.501506</v>
          </cell>
          <cell r="M11">
            <v>-1193.408857</v>
          </cell>
          <cell r="N11">
            <v>-10.29515</v>
          </cell>
          <cell r="O11">
            <v>395.586167</v>
          </cell>
          <cell r="P11">
            <v>5.117315</v>
          </cell>
          <cell r="Q11">
            <v>31.292434</v>
          </cell>
          <cell r="R11">
            <v>3944.304922</v>
          </cell>
          <cell r="S11">
            <v>0</v>
          </cell>
          <cell r="T11">
            <v>3442.195896</v>
          </cell>
          <cell r="U11">
            <v>502.109026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-494.968837</v>
          </cell>
          <cell r="AA11">
            <v>1708.268663</v>
          </cell>
          <cell r="AB11">
            <v>-79.171924</v>
          </cell>
          <cell r="AC11">
            <v>1787.440587</v>
          </cell>
          <cell r="AD11">
            <v>4024.175434</v>
          </cell>
          <cell r="AE11">
            <v>3908.483402</v>
          </cell>
          <cell r="AF11">
            <v>120.706819</v>
          </cell>
          <cell r="AG11">
            <v>-5.014787</v>
          </cell>
          <cell r="AH11">
            <v>574.24827</v>
          </cell>
        </row>
        <row r="12">
          <cell r="B12" t="str">
            <v>绵阳</v>
          </cell>
          <cell r="C12">
            <v>186112.877439</v>
          </cell>
          <cell r="D12">
            <v>187105.617439</v>
          </cell>
        </row>
        <row r="12">
          <cell r="F12">
            <v>0.988775142877017</v>
          </cell>
          <cell r="G12">
            <v>184023.786981</v>
          </cell>
          <cell r="H12">
            <v>181044.237642</v>
          </cell>
          <cell r="I12">
            <v>187105.617439</v>
          </cell>
          <cell r="J12">
            <v>5428.057447</v>
          </cell>
          <cell r="K12">
            <v>0.004846</v>
          </cell>
          <cell r="L12">
            <v>23.61646</v>
          </cell>
          <cell r="M12">
            <v>-920.850587</v>
          </cell>
          <cell r="N12">
            <v>-11.5254</v>
          </cell>
          <cell r="O12">
            <v>276.289768</v>
          </cell>
          <cell r="P12">
            <v>0.857437</v>
          </cell>
          <cell r="Q12">
            <v>0.274837</v>
          </cell>
          <cell r="R12">
            <v>1806.416497</v>
          </cell>
          <cell r="S12">
            <v>-9.756399</v>
          </cell>
          <cell r="T12">
            <v>1322.198296</v>
          </cell>
          <cell r="U12">
            <v>493.9746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-117.911736</v>
          </cell>
          <cell r="AA12">
            <v>3114.721756</v>
          </cell>
          <cell r="AB12">
            <v>-74.746266</v>
          </cell>
          <cell r="AC12">
            <v>3189.468022</v>
          </cell>
          <cell r="AD12">
            <v>1949.487624</v>
          </cell>
          <cell r="AE12">
            <v>1639.698065</v>
          </cell>
          <cell r="AF12">
            <v>325.502764</v>
          </cell>
          <cell r="AG12">
            <v>-15.713205</v>
          </cell>
          <cell r="AH12">
            <v>-396.430117000002</v>
          </cell>
        </row>
        <row r="13">
          <cell r="B13" t="str">
            <v>广元</v>
          </cell>
          <cell r="C13">
            <v>73826.941741</v>
          </cell>
          <cell r="D13">
            <v>73987.651741</v>
          </cell>
        </row>
        <row r="13">
          <cell r="F13">
            <v>0.966015477780429</v>
          </cell>
          <cell r="G13">
            <v>71317.968399</v>
          </cell>
          <cell r="H13">
            <v>71078.659404</v>
          </cell>
          <cell r="I13">
            <v>73987.651741</v>
          </cell>
          <cell r="J13">
            <v>2597.734343</v>
          </cell>
          <cell r="K13">
            <v>0.000188</v>
          </cell>
          <cell r="L13">
            <v>22.6209</v>
          </cell>
          <cell r="M13">
            <v>-430.336982</v>
          </cell>
          <cell r="N13">
            <v>0.68428</v>
          </cell>
          <cell r="O13">
            <v>95.653374</v>
          </cell>
          <cell r="P13">
            <v>-0.120246</v>
          </cell>
          <cell r="Q13">
            <v>14.956239</v>
          </cell>
          <cell r="R13">
            <v>1938.810263</v>
          </cell>
          <cell r="S13">
            <v>0</v>
          </cell>
          <cell r="T13">
            <v>1968.138283</v>
          </cell>
          <cell r="U13">
            <v>-29.32802</v>
          </cell>
          <cell r="V13">
            <v>0</v>
          </cell>
          <cell r="W13">
            <v>0</v>
          </cell>
          <cell r="X13">
            <v>68.762723</v>
          </cell>
          <cell r="Y13">
            <v>68.762723</v>
          </cell>
          <cell r="Z13">
            <v>-98.536293</v>
          </cell>
          <cell r="AA13">
            <v>57.7450510000011</v>
          </cell>
          <cell r="AB13">
            <v>114.857503</v>
          </cell>
          <cell r="AC13">
            <v>-57.1124519999988</v>
          </cell>
          <cell r="AD13">
            <v>1751.264256</v>
          </cell>
          <cell r="AE13">
            <v>1732.920922</v>
          </cell>
          <cell r="AF13">
            <v>36.470503</v>
          </cell>
          <cell r="AG13">
            <v>-18.127169</v>
          </cell>
          <cell r="AH13">
            <v>255.617418999999</v>
          </cell>
        </row>
        <row r="14">
          <cell r="B14" t="str">
            <v>遂宁</v>
          </cell>
          <cell r="C14">
            <v>73517.194756</v>
          </cell>
          <cell r="D14">
            <v>73722.924756</v>
          </cell>
        </row>
        <row r="14">
          <cell r="F14">
            <v>0.970851703616927</v>
          </cell>
          <cell r="G14">
            <v>71374.293774</v>
          </cell>
          <cell r="H14">
            <v>71604.120341</v>
          </cell>
          <cell r="I14">
            <v>73722.924756</v>
          </cell>
          <cell r="J14">
            <v>2198.515299</v>
          </cell>
          <cell r="K14">
            <v>0.000513</v>
          </cell>
          <cell r="L14">
            <v>3.266418</v>
          </cell>
          <cell r="M14">
            <v>-381.703614</v>
          </cell>
          <cell r="N14">
            <v>0</v>
          </cell>
          <cell r="O14">
            <v>480.855383</v>
          </cell>
          <cell r="P14">
            <v>22.707816</v>
          </cell>
          <cell r="Q14">
            <v>22.177319</v>
          </cell>
          <cell r="R14">
            <v>1275.326304</v>
          </cell>
          <cell r="S14">
            <v>0</v>
          </cell>
          <cell r="T14">
            <v>1275.326304</v>
          </cell>
          <cell r="U14">
            <v>0</v>
          </cell>
          <cell r="V14">
            <v>0</v>
          </cell>
          <cell r="W14">
            <v>0</v>
          </cell>
          <cell r="X14">
            <v>98.268852</v>
          </cell>
          <cell r="Y14">
            <v>98.268852</v>
          </cell>
          <cell r="Z14">
            <v>-152.591778</v>
          </cell>
          <cell r="AA14">
            <v>922.185310999999</v>
          </cell>
          <cell r="AB14">
            <v>19.147682</v>
          </cell>
          <cell r="AC14">
            <v>903.037628999999</v>
          </cell>
          <cell r="AD14">
            <v>527.09229</v>
          </cell>
          <cell r="AE14">
            <v>497.189856</v>
          </cell>
          <cell r="AF14">
            <v>29.902434</v>
          </cell>
          <cell r="AG14">
            <v>0</v>
          </cell>
          <cell r="AH14">
            <v>-578.546960999999</v>
          </cell>
        </row>
        <row r="15">
          <cell r="B15" t="str">
            <v>内江</v>
          </cell>
          <cell r="C15">
            <v>86652.332642</v>
          </cell>
          <cell r="D15">
            <v>86877.632642</v>
          </cell>
        </row>
        <row r="15">
          <cell r="F15">
            <v>0.985457108128799</v>
          </cell>
          <cell r="G15">
            <v>85392.157138</v>
          </cell>
          <cell r="H15">
            <v>83638.251794</v>
          </cell>
          <cell r="I15">
            <v>86877.632642</v>
          </cell>
          <cell r="J15">
            <v>2401.741514</v>
          </cell>
          <cell r="K15">
            <v>0.003469</v>
          </cell>
          <cell r="L15">
            <v>49.668595</v>
          </cell>
          <cell r="M15">
            <v>-663.348913</v>
          </cell>
          <cell r="N15">
            <v>-473.518962</v>
          </cell>
          <cell r="O15">
            <v>277.77316</v>
          </cell>
          <cell r="P15">
            <v>28.216683</v>
          </cell>
          <cell r="Q15">
            <v>28.269401</v>
          </cell>
          <cell r="R15">
            <v>2457.058935</v>
          </cell>
          <cell r="S15">
            <v>0</v>
          </cell>
          <cell r="T15">
            <v>1323.115297</v>
          </cell>
          <cell r="U15">
            <v>1133.943638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-312.110546</v>
          </cell>
          <cell r="AA15">
            <v>2693.976007</v>
          </cell>
          <cell r="AB15">
            <v>-201.139236</v>
          </cell>
          <cell r="AC15">
            <v>2895.115243</v>
          </cell>
          <cell r="AD15">
            <v>1264.286393</v>
          </cell>
          <cell r="AE15">
            <v>1129.442777</v>
          </cell>
          <cell r="AF15">
            <v>179.692893</v>
          </cell>
          <cell r="AG15">
            <v>-44.849277</v>
          </cell>
          <cell r="AH15">
            <v>-87.6780679999997</v>
          </cell>
        </row>
        <row r="16">
          <cell r="B16" t="str">
            <v>乐山</v>
          </cell>
          <cell r="C16">
            <v>118805.110287</v>
          </cell>
          <cell r="D16">
            <v>119104.380287</v>
          </cell>
        </row>
        <row r="16">
          <cell r="F16">
            <v>0.983974403774378</v>
          </cell>
          <cell r="G16">
            <v>116901.18756</v>
          </cell>
          <cell r="H16">
            <v>115971.00574</v>
          </cell>
          <cell r="I16">
            <v>119104.380287</v>
          </cell>
          <cell r="J16">
            <v>3250.777284</v>
          </cell>
          <cell r="K16">
            <v>0.003914</v>
          </cell>
          <cell r="L16">
            <v>59.704406</v>
          </cell>
          <cell r="M16">
            <v>-421.770325</v>
          </cell>
          <cell r="N16">
            <v>-9.696</v>
          </cell>
          <cell r="O16">
            <v>491.000602</v>
          </cell>
          <cell r="P16">
            <v>1.83986</v>
          </cell>
          <cell r="Q16">
            <v>19.994694</v>
          </cell>
          <cell r="R16">
            <v>4676.666482</v>
          </cell>
          <cell r="S16">
            <v>0</v>
          </cell>
          <cell r="T16">
            <v>4062.362482</v>
          </cell>
          <cell r="U16">
            <v>614.304</v>
          </cell>
          <cell r="V16">
            <v>0</v>
          </cell>
          <cell r="W16">
            <v>0</v>
          </cell>
          <cell r="X16">
            <v>414.040472</v>
          </cell>
          <cell r="Y16">
            <v>414.040472</v>
          </cell>
          <cell r="Z16">
            <v>-86.188164</v>
          </cell>
          <cell r="AA16">
            <v>3553.693113</v>
          </cell>
          <cell r="AB16">
            <v>18.411766</v>
          </cell>
          <cell r="AC16">
            <v>3535.281347</v>
          </cell>
          <cell r="AD16">
            <v>1298.173948</v>
          </cell>
          <cell r="AE16">
            <v>1117.48053</v>
          </cell>
          <cell r="AF16">
            <v>236.282622</v>
          </cell>
          <cell r="AG16">
            <v>-55.589204</v>
          </cell>
          <cell r="AH16">
            <v>648.798382999999</v>
          </cell>
        </row>
        <row r="17">
          <cell r="B17" t="str">
            <v>南充</v>
          </cell>
          <cell r="C17">
            <v>182016.220024</v>
          </cell>
          <cell r="D17">
            <v>182447.020024</v>
          </cell>
        </row>
        <row r="17">
          <cell r="F17">
            <v>0.963148080675912</v>
          </cell>
          <cell r="G17">
            <v>175308.572968</v>
          </cell>
          <cell r="H17">
            <v>177020.807006</v>
          </cell>
          <cell r="I17">
            <v>182447.020024</v>
          </cell>
          <cell r="J17">
            <v>5195.862721</v>
          </cell>
          <cell r="K17">
            <v>0.000592</v>
          </cell>
          <cell r="L17">
            <v>1.016195</v>
          </cell>
          <cell r="M17">
            <v>-959.972399</v>
          </cell>
          <cell r="N17">
            <v>-60.205174</v>
          </cell>
          <cell r="O17">
            <v>788.812864</v>
          </cell>
          <cell r="P17">
            <v>0.002375</v>
          </cell>
          <cell r="Q17">
            <v>47.844279</v>
          </cell>
          <cell r="R17">
            <v>1705.95301</v>
          </cell>
          <cell r="S17">
            <v>0</v>
          </cell>
          <cell r="T17">
            <v>-874.419603</v>
          </cell>
          <cell r="U17">
            <v>2580.372613</v>
          </cell>
          <cell r="V17">
            <v>0</v>
          </cell>
          <cell r="W17">
            <v>0</v>
          </cell>
          <cell r="X17">
            <v>1215.849651</v>
          </cell>
          <cell r="Y17">
            <v>1215.849651</v>
          </cell>
          <cell r="Z17">
            <v>231.675635</v>
          </cell>
          <cell r="AA17">
            <v>-1213.964339</v>
          </cell>
          <cell r="AB17">
            <v>-145.408148</v>
          </cell>
          <cell r="AC17">
            <v>-1068.556191</v>
          </cell>
          <cell r="AD17">
            <v>1106.532337</v>
          </cell>
          <cell r="AE17">
            <v>1186.732617</v>
          </cell>
          <cell r="AF17">
            <v>-80.2002800000001</v>
          </cell>
          <cell r="AG17">
            <v>0</v>
          </cell>
          <cell r="AH17">
            <v>284.982330000003</v>
          </cell>
        </row>
        <row r="18">
          <cell r="B18" t="str">
            <v>眉山</v>
          </cell>
          <cell r="C18">
            <v>119439.991179</v>
          </cell>
          <cell r="D18">
            <v>119621.441179</v>
          </cell>
        </row>
        <row r="18">
          <cell r="F18">
            <v>1.0259041807979</v>
          </cell>
          <cell r="G18">
            <v>122533.986305</v>
          </cell>
          <cell r="H18">
            <v>116455.991126</v>
          </cell>
          <cell r="I18">
            <v>119621.441179</v>
          </cell>
          <cell r="J18">
            <v>3052.74508</v>
          </cell>
          <cell r="K18">
            <v>0.003904</v>
          </cell>
          <cell r="L18">
            <v>9.018758</v>
          </cell>
          <cell r="M18">
            <v>-351.750144</v>
          </cell>
          <cell r="N18">
            <v>-17.726996</v>
          </cell>
          <cell r="O18">
            <v>263.01371</v>
          </cell>
          <cell r="P18">
            <v>15.264205</v>
          </cell>
          <cell r="Q18">
            <v>14.725502</v>
          </cell>
          <cell r="R18">
            <v>1015.028962</v>
          </cell>
          <cell r="S18">
            <v>0</v>
          </cell>
          <cell r="T18">
            <v>255.256145</v>
          </cell>
          <cell r="U18">
            <v>759.772817</v>
          </cell>
          <cell r="V18">
            <v>0</v>
          </cell>
          <cell r="W18">
            <v>0</v>
          </cell>
          <cell r="X18">
            <v>224.824333</v>
          </cell>
          <cell r="Y18">
            <v>224.824333</v>
          </cell>
          <cell r="Z18">
            <v>-720.407853</v>
          </cell>
          <cell r="AA18">
            <v>3275.998629</v>
          </cell>
          <cell r="AB18">
            <v>58.920893</v>
          </cell>
          <cell r="AC18">
            <v>3217.077736</v>
          </cell>
          <cell r="AD18">
            <v>3179.037126</v>
          </cell>
          <cell r="AE18">
            <v>2962.178921</v>
          </cell>
          <cell r="AF18">
            <v>216.858205</v>
          </cell>
          <cell r="AG18">
            <v>0</v>
          </cell>
          <cell r="AH18">
            <v>-97.1449690000009</v>
          </cell>
        </row>
        <row r="19">
          <cell r="B19" t="str">
            <v>宜宾</v>
          </cell>
          <cell r="C19">
            <v>138807.86793383</v>
          </cell>
          <cell r="D19">
            <v>154631.326971</v>
          </cell>
        </row>
        <row r="19">
          <cell r="F19">
            <v>1.09893571155287</v>
          </cell>
          <cell r="G19">
            <v>152540.923117</v>
          </cell>
          <cell r="H19">
            <v>149931.004617</v>
          </cell>
          <cell r="I19">
            <v>154631.326971</v>
          </cell>
          <cell r="J19">
            <v>4455.817491</v>
          </cell>
          <cell r="K19">
            <v>0.015367</v>
          </cell>
          <cell r="L19">
            <v>75.182844</v>
          </cell>
          <cell r="M19">
            <v>-857.322402</v>
          </cell>
          <cell r="N19">
            <v>-2.426517</v>
          </cell>
          <cell r="O19">
            <v>540.052189</v>
          </cell>
          <cell r="P19">
            <v>0.006344</v>
          </cell>
          <cell r="Q19">
            <v>25.697433</v>
          </cell>
          <cell r="R19">
            <v>651.300303999998</v>
          </cell>
          <cell r="S19">
            <v>0</v>
          </cell>
          <cell r="T19">
            <v>510.285289999998</v>
          </cell>
          <cell r="U19">
            <v>141.015014</v>
          </cell>
          <cell r="V19">
            <v>0</v>
          </cell>
          <cell r="W19">
            <v>0</v>
          </cell>
          <cell r="X19">
            <v>75.160489</v>
          </cell>
          <cell r="Y19">
            <v>75.160489</v>
          </cell>
          <cell r="Z19">
            <v>-42.2532050000001</v>
          </cell>
          <cell r="AA19">
            <v>3171.926851</v>
          </cell>
          <cell r="AB19">
            <v>-30.578508</v>
          </cell>
          <cell r="AC19">
            <v>3202.505359</v>
          </cell>
          <cell r="AD19">
            <v>1562.871432</v>
          </cell>
          <cell r="AE19">
            <v>1420.929638</v>
          </cell>
          <cell r="AF19">
            <v>210.933293</v>
          </cell>
          <cell r="AG19">
            <v>-68.991499</v>
          </cell>
          <cell r="AH19">
            <v>-1541.530117</v>
          </cell>
        </row>
        <row r="20">
          <cell r="B20" t="str">
            <v>广安</v>
          </cell>
          <cell r="C20">
            <v>85564.246417</v>
          </cell>
          <cell r="D20">
            <v>85781.766417</v>
          </cell>
        </row>
        <row r="20">
          <cell r="F20">
            <v>0.967585343187818</v>
          </cell>
          <cell r="G20">
            <v>82790.710734</v>
          </cell>
          <cell r="H20">
            <v>82795.77287</v>
          </cell>
          <cell r="I20">
            <v>85781.766417</v>
          </cell>
          <cell r="J20">
            <v>2379.454315</v>
          </cell>
          <cell r="K20">
            <v>0.003902</v>
          </cell>
          <cell r="L20">
            <v>4.454703</v>
          </cell>
          <cell r="M20">
            <v>-710.977568</v>
          </cell>
          <cell r="N20">
            <v>1.140731</v>
          </cell>
          <cell r="O20">
            <v>98.83936</v>
          </cell>
          <cell r="P20">
            <v>0.00036</v>
          </cell>
          <cell r="Q20">
            <v>11.947411</v>
          </cell>
          <cell r="R20">
            <v>1374.349339</v>
          </cell>
          <cell r="S20">
            <v>0</v>
          </cell>
          <cell r="T20">
            <v>1423.240666</v>
          </cell>
          <cell r="U20">
            <v>-48.891327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-141.152644</v>
          </cell>
          <cell r="AA20">
            <v>1484.12191</v>
          </cell>
          <cell r="AB20">
            <v>-7.305324</v>
          </cell>
          <cell r="AC20">
            <v>1491.427234</v>
          </cell>
          <cell r="AD20">
            <v>1072.533252</v>
          </cell>
          <cell r="AE20">
            <v>946.673589</v>
          </cell>
          <cell r="AF20">
            <v>125.859663</v>
          </cell>
          <cell r="AG20">
            <v>0</v>
          </cell>
          <cell r="AH20">
            <v>-1340.468014</v>
          </cell>
        </row>
        <row r="21">
          <cell r="B21" t="str">
            <v>达州</v>
          </cell>
          <cell r="C21">
            <v>121838.879318</v>
          </cell>
          <cell r="D21">
            <v>122141.229318</v>
          </cell>
        </row>
        <row r="21">
          <cell r="F21">
            <v>0.970927911920832</v>
          </cell>
          <cell r="G21">
            <v>118296.768687</v>
          </cell>
          <cell r="H21">
            <v>118058.775288</v>
          </cell>
          <cell r="I21">
            <v>122141.229318</v>
          </cell>
          <cell r="J21">
            <v>3916.615806</v>
          </cell>
          <cell r="K21">
            <v>0.001685</v>
          </cell>
          <cell r="L21">
            <v>6.009892</v>
          </cell>
          <cell r="M21">
            <v>-422.130876</v>
          </cell>
          <cell r="N21">
            <v>-22.467506</v>
          </cell>
          <cell r="O21">
            <v>272.75439</v>
          </cell>
          <cell r="P21">
            <v>0.005809</v>
          </cell>
          <cell r="Q21">
            <v>0</v>
          </cell>
          <cell r="R21">
            <v>3708.792572</v>
          </cell>
          <cell r="S21">
            <v>0</v>
          </cell>
          <cell r="T21">
            <v>1484.509478</v>
          </cell>
          <cell r="U21">
            <v>2224.283094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-191.743937</v>
          </cell>
          <cell r="AA21">
            <v>1219.915005</v>
          </cell>
          <cell r="AB21">
            <v>231.283209</v>
          </cell>
          <cell r="AC21">
            <v>988.631795999998</v>
          </cell>
          <cell r="AD21">
            <v>1880.234221</v>
          </cell>
          <cell r="AE21">
            <v>1864.210677</v>
          </cell>
          <cell r="AF21">
            <v>16.023544</v>
          </cell>
          <cell r="AG21">
            <v>0</v>
          </cell>
          <cell r="AH21">
            <v>654.892808000001</v>
          </cell>
        </row>
        <row r="22">
          <cell r="B22" t="str">
            <v>雅安</v>
          </cell>
          <cell r="C22">
            <v>54011.8654196038</v>
          </cell>
          <cell r="D22">
            <v>62251.042458</v>
          </cell>
        </row>
        <row r="22">
          <cell r="F22">
            <v>1.14234066349439</v>
          </cell>
          <cell r="G22">
            <v>61699.95018</v>
          </cell>
          <cell r="H22">
            <v>60959.201048</v>
          </cell>
          <cell r="I22">
            <v>62251.042458</v>
          </cell>
          <cell r="J22">
            <v>1591.517711</v>
          </cell>
          <cell r="K22">
            <v>0.0012</v>
          </cell>
          <cell r="L22">
            <v>68.647553</v>
          </cell>
          <cell r="M22">
            <v>-175.634714</v>
          </cell>
          <cell r="N22">
            <v>-2.406206</v>
          </cell>
          <cell r="O22">
            <v>419.819034</v>
          </cell>
          <cell r="P22">
            <v>10.750566</v>
          </cell>
          <cell r="Q22">
            <v>9.549514</v>
          </cell>
          <cell r="R22">
            <v>218.929988</v>
          </cell>
          <cell r="S22">
            <v>0</v>
          </cell>
          <cell r="T22">
            <v>115.800825</v>
          </cell>
          <cell r="U22">
            <v>103.129163</v>
          </cell>
          <cell r="V22">
            <v>0</v>
          </cell>
          <cell r="W22">
            <v>0</v>
          </cell>
          <cell r="X22">
            <v>332.294732</v>
          </cell>
          <cell r="Y22">
            <v>332.294732</v>
          </cell>
          <cell r="Z22">
            <v>42.003137</v>
          </cell>
          <cell r="AA22">
            <v>1231.075959</v>
          </cell>
          <cell r="AB22">
            <v>16.409282</v>
          </cell>
          <cell r="AC22">
            <v>1214.666677</v>
          </cell>
          <cell r="AD22">
            <v>692.306798</v>
          </cell>
          <cell r="AE22">
            <v>681.28284</v>
          </cell>
          <cell r="AF22">
            <v>76.379964</v>
          </cell>
          <cell r="AG22">
            <v>-65.356006</v>
          </cell>
          <cell r="AH22">
            <v>-931.250013999999</v>
          </cell>
        </row>
        <row r="23">
          <cell r="B23" t="str">
            <v>巴中</v>
          </cell>
          <cell r="C23">
            <v>82743.628556</v>
          </cell>
          <cell r="D23">
            <v>82903.178556</v>
          </cell>
        </row>
        <row r="23">
          <cell r="F23">
            <v>0.934822460772915</v>
          </cell>
          <cell r="G23">
            <v>77350.60246</v>
          </cell>
          <cell r="H23">
            <v>80169.434679</v>
          </cell>
          <cell r="I23">
            <v>82903.178556</v>
          </cell>
          <cell r="J23">
            <v>2892.540681</v>
          </cell>
          <cell r="K23">
            <v>0</v>
          </cell>
          <cell r="L23">
            <v>240.442044</v>
          </cell>
          <cell r="M23">
            <v>-278.143394</v>
          </cell>
          <cell r="N23">
            <v>-16.004912</v>
          </cell>
          <cell r="O23">
            <v>239.37481</v>
          </cell>
          <cell r="P23">
            <v>26.871744</v>
          </cell>
          <cell r="Q23">
            <v>11.603973</v>
          </cell>
          <cell r="R23">
            <v>4499.674162</v>
          </cell>
          <cell r="S23">
            <v>0</v>
          </cell>
          <cell r="T23">
            <v>2915.187874</v>
          </cell>
          <cell r="U23">
            <v>1584.486288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-221.903999</v>
          </cell>
          <cell r="AA23">
            <v>1152.106027</v>
          </cell>
          <cell r="AB23">
            <v>-0.598772</v>
          </cell>
          <cell r="AC23">
            <v>1152.704799</v>
          </cell>
          <cell r="AD23">
            <v>598.154244</v>
          </cell>
          <cell r="AE23">
            <v>799.655376</v>
          </cell>
          <cell r="AF23">
            <v>38.940912</v>
          </cell>
          <cell r="AG23">
            <v>-240.442044</v>
          </cell>
          <cell r="AH23">
            <v>-302.9263</v>
          </cell>
        </row>
        <row r="24">
          <cell r="B24" t="str">
            <v>资阳</v>
          </cell>
          <cell r="C24">
            <v>63487.432849</v>
          </cell>
          <cell r="D24">
            <v>63616.032849</v>
          </cell>
        </row>
        <row r="24">
          <cell r="F24">
            <v>0.988058302454862</v>
          </cell>
          <cell r="G24">
            <v>62729.285128</v>
          </cell>
          <cell r="H24">
            <v>60875.481684</v>
          </cell>
          <cell r="I24">
            <v>63616.032849</v>
          </cell>
          <cell r="J24">
            <v>2582.180446</v>
          </cell>
          <cell r="K24">
            <v>0.111534</v>
          </cell>
          <cell r="L24">
            <v>4.414014</v>
          </cell>
          <cell r="M24">
            <v>-309.090939</v>
          </cell>
          <cell r="N24">
            <v>-8.12877</v>
          </cell>
          <cell r="O24">
            <v>162.900901</v>
          </cell>
          <cell r="P24">
            <v>8.577459</v>
          </cell>
          <cell r="Q24">
            <v>0</v>
          </cell>
          <cell r="R24">
            <v>644.455037</v>
          </cell>
          <cell r="S24">
            <v>0</v>
          </cell>
          <cell r="T24">
            <v>-160.293189</v>
          </cell>
          <cell r="U24">
            <v>804.748226</v>
          </cell>
          <cell r="V24">
            <v>0</v>
          </cell>
          <cell r="W24">
            <v>0</v>
          </cell>
          <cell r="X24">
            <v>440.385559</v>
          </cell>
          <cell r="Y24">
            <v>440.385559</v>
          </cell>
          <cell r="Z24">
            <v>49.7277789999999</v>
          </cell>
          <cell r="AA24">
            <v>1698.640069</v>
          </cell>
          <cell r="AB24">
            <v>0</v>
          </cell>
          <cell r="AC24">
            <v>1698.640069</v>
          </cell>
          <cell r="AD24">
            <v>498.492336</v>
          </cell>
          <cell r="AE24">
            <v>409.684272</v>
          </cell>
          <cell r="AF24">
            <v>88.8080640000001</v>
          </cell>
          <cell r="AG24">
            <v>0</v>
          </cell>
          <cell r="AH24">
            <v>350.853855000001</v>
          </cell>
        </row>
        <row r="25">
          <cell r="B25" t="str">
            <v>阿坝</v>
          </cell>
          <cell r="C25">
            <v>41224.99207</v>
          </cell>
          <cell r="D25">
            <v>41298.72207</v>
          </cell>
        </row>
        <row r="25">
          <cell r="F25">
            <v>1.08488486270799</v>
          </cell>
          <cell r="G25">
            <v>44724.369862</v>
          </cell>
          <cell r="H25">
            <v>40384.567003</v>
          </cell>
          <cell r="I25">
            <v>41298.72207</v>
          </cell>
          <cell r="J25">
            <v>1048.225307</v>
          </cell>
          <cell r="K25">
            <v>0.117377</v>
          </cell>
          <cell r="L25">
            <v>5.322221</v>
          </cell>
          <cell r="M25">
            <v>96.253183</v>
          </cell>
          <cell r="N25">
            <v>-8.195576</v>
          </cell>
          <cell r="O25">
            <v>40.573035</v>
          </cell>
          <cell r="P25">
            <v>0</v>
          </cell>
          <cell r="Q25">
            <v>6.574665</v>
          </cell>
          <cell r="R25">
            <v>1468.162162</v>
          </cell>
          <cell r="S25">
            <v>0</v>
          </cell>
          <cell r="T25">
            <v>1146.937738</v>
          </cell>
          <cell r="U25">
            <v>321.224424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-68.63799</v>
          </cell>
          <cell r="AA25">
            <v>1828.69433</v>
          </cell>
          <cell r="AB25">
            <v>81.279359</v>
          </cell>
          <cell r="AC25">
            <v>1747.414971</v>
          </cell>
          <cell r="AD25">
            <v>3964.698812</v>
          </cell>
          <cell r="AE25">
            <v>3847.857161</v>
          </cell>
          <cell r="AF25">
            <v>116.841651</v>
          </cell>
          <cell r="AG25">
            <v>0</v>
          </cell>
          <cell r="AH25">
            <v>-60.6407759999995</v>
          </cell>
        </row>
        <row r="26">
          <cell r="B26" t="str">
            <v>甘孜</v>
          </cell>
          <cell r="C26">
            <v>57645.487392</v>
          </cell>
          <cell r="D26">
            <v>57742.127392</v>
          </cell>
        </row>
        <row r="26">
          <cell r="F26">
            <v>0.955474851456348</v>
          </cell>
          <cell r="G26">
            <v>55078.813503</v>
          </cell>
          <cell r="H26">
            <v>55878.638467</v>
          </cell>
          <cell r="I26">
            <v>57742.127392</v>
          </cell>
          <cell r="J26">
            <v>1153.126558</v>
          </cell>
          <cell r="K26">
            <v>0.123212</v>
          </cell>
          <cell r="L26">
            <v>11.413712</v>
          </cell>
          <cell r="M26">
            <v>-743.268767</v>
          </cell>
          <cell r="N26">
            <v>-8.837595</v>
          </cell>
          <cell r="O26">
            <v>30.207071</v>
          </cell>
          <cell r="P26">
            <v>0</v>
          </cell>
          <cell r="Q26">
            <v>12.246375</v>
          </cell>
          <cell r="R26">
            <v>171.036155</v>
          </cell>
          <cell r="S26">
            <v>0</v>
          </cell>
          <cell r="T26">
            <v>-662.633375</v>
          </cell>
          <cell r="U26">
            <v>833.66953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237.299308</v>
          </cell>
          <cell r="AA26">
            <v>1304.561847</v>
          </cell>
          <cell r="AB26">
            <v>-132.038523</v>
          </cell>
          <cell r="AC26">
            <v>1436.60037</v>
          </cell>
          <cell r="AD26">
            <v>2101.500759</v>
          </cell>
          <cell r="AE26">
            <v>1997.579466</v>
          </cell>
          <cell r="AF26">
            <v>103.921293</v>
          </cell>
          <cell r="AG26">
            <v>0</v>
          </cell>
          <cell r="AH26">
            <v>-3809.798482</v>
          </cell>
        </row>
        <row r="27">
          <cell r="B27" t="str">
            <v>凉山</v>
          </cell>
          <cell r="C27">
            <v>138671.019972</v>
          </cell>
          <cell r="D27">
            <v>139040.089972</v>
          </cell>
        </row>
        <row r="27">
          <cell r="F27">
            <v>0.980468368087674</v>
          </cell>
          <cell r="G27">
            <v>135962.548653</v>
          </cell>
          <cell r="H27">
            <v>134673.254475</v>
          </cell>
          <cell r="I27">
            <v>139040.089972</v>
          </cell>
          <cell r="J27">
            <v>4260.340084</v>
          </cell>
          <cell r="K27">
            <v>1.271566</v>
          </cell>
          <cell r="L27">
            <v>64.762065</v>
          </cell>
          <cell r="M27">
            <v>-295.278731</v>
          </cell>
          <cell r="N27">
            <v>-7.80444</v>
          </cell>
          <cell r="O27">
            <v>130.554127</v>
          </cell>
          <cell r="P27">
            <v>0</v>
          </cell>
          <cell r="Q27">
            <v>36.537351</v>
          </cell>
          <cell r="R27">
            <v>3823.605277</v>
          </cell>
          <cell r="S27">
            <v>0</v>
          </cell>
          <cell r="T27">
            <v>3489.109717</v>
          </cell>
          <cell r="U27">
            <v>334.49556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-180.160442</v>
          </cell>
          <cell r="AA27">
            <v>2089.181211</v>
          </cell>
          <cell r="AB27">
            <v>355.186452</v>
          </cell>
          <cell r="AC27">
            <v>1733.994759</v>
          </cell>
          <cell r="AD27">
            <v>3171.694049</v>
          </cell>
          <cell r="AE27">
            <v>3093.228035</v>
          </cell>
          <cell r="AF27">
            <v>129.788684</v>
          </cell>
          <cell r="AG27">
            <v>-51.3226699999999</v>
          </cell>
          <cell r="AH27">
            <v>-364.673597999995</v>
          </cell>
        </row>
        <row r="28">
          <cell r="B28" t="str">
            <v>市州合计</v>
          </cell>
          <cell r="C28">
            <v>3042057.20563447</v>
          </cell>
          <cell r="D28">
            <v>3147304.165444</v>
          </cell>
        </row>
        <row r="28">
          <cell r="F28">
            <v>1.01571239041593</v>
          </cell>
          <cell r="G28">
            <v>3089855.196117</v>
          </cell>
          <cell r="H28">
            <v>3057445.282737</v>
          </cell>
          <cell r="I28">
            <v>3147304.165444</v>
          </cell>
          <cell r="J28">
            <v>86368.292539</v>
          </cell>
          <cell r="K28">
            <v>3.314244</v>
          </cell>
          <cell r="L28">
            <v>749.367452</v>
          </cell>
          <cell r="M28">
            <v>-12788.935261</v>
          </cell>
          <cell r="N28">
            <v>-1129.492981</v>
          </cell>
          <cell r="O28">
            <v>9860.147319</v>
          </cell>
          <cell r="P28">
            <v>184.990941</v>
          </cell>
          <cell r="Q28">
            <v>490.407783</v>
          </cell>
          <cell r="R28">
            <v>58641.342181</v>
          </cell>
          <cell r="S28">
            <v>158.553407</v>
          </cell>
          <cell r="T28">
            <v>36071.47435</v>
          </cell>
          <cell r="U28">
            <v>22411.314424</v>
          </cell>
          <cell r="V28">
            <v>0</v>
          </cell>
          <cell r="W28">
            <v>0</v>
          </cell>
          <cell r="X28">
            <v>7828.239527</v>
          </cell>
          <cell r="Y28">
            <v>7828.239527</v>
          </cell>
          <cell r="Z28">
            <v>-3954.745558</v>
          </cell>
          <cell r="AA28">
            <v>44667.265302</v>
          </cell>
          <cell r="AB28">
            <v>239.429852</v>
          </cell>
          <cell r="AC28">
            <v>44427.83545</v>
          </cell>
          <cell r="AD28">
            <v>46741.097107</v>
          </cell>
          <cell r="AE28">
            <v>44595.104326</v>
          </cell>
          <cell r="AF28">
            <v>2734.631316</v>
          </cell>
          <cell r="AG28">
            <v>-588.638535</v>
          </cell>
          <cell r="AH28">
            <v>-4802.26018900001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2025年12月 (不调整权益金数据)"/>
      <sheetName val="2025年12月 (1.20更新数据并调整权益金数据)"/>
      <sheetName val="2025年12月"/>
      <sheetName val="2025年11月"/>
      <sheetName val="2025年10月"/>
      <sheetName val="2025年9月 "/>
      <sheetName val="2025年8月"/>
      <sheetName val="2025年7月"/>
      <sheetName val="2025年6月"/>
      <sheetName val="2025年5月"/>
      <sheetName val="2025年4月 "/>
      <sheetName val="2025年3月 "/>
      <sheetName val="2025年2月 "/>
      <sheetName val="2025年1月 "/>
    </sheetNames>
    <sheetDataSet>
      <sheetData sheetId="0">
        <row r="2">
          <cell r="A2" t="str">
            <v>单位</v>
          </cell>
          <cell r="B2" t="str">
            <v>报表收入（元）</v>
          </cell>
          <cell r="C2" t="str">
            <v>报表收入（万元）</v>
          </cell>
          <cell r="D2" t="str">
            <v>收入剔除项</v>
          </cell>
          <cell r="E2" t="str">
            <v>2025年收入（不含云及IDC运营中心直销客户的IDC收入）</v>
          </cell>
          <cell r="F2" t="str">
            <v>产数收入（报表）</v>
          </cell>
          <cell r="G2" t="str">
            <v>2025年产数收入（不含IDC）</v>
          </cell>
          <cell r="H2" t="str">
            <v>2025年资源型收入（剔除云锦IDC收入）</v>
          </cell>
          <cell r="I2" t="str">
            <v>2025年ICT收入</v>
          </cell>
        </row>
        <row r="3">
          <cell r="A3" t="str">
            <v>本部</v>
          </cell>
          <cell r="B3">
            <v>159938664.97</v>
          </cell>
          <cell r="C3">
            <v>15993.866497</v>
          </cell>
          <cell r="D3">
            <v>0</v>
          </cell>
          <cell r="E3">
            <v>15993.866497</v>
          </cell>
          <cell r="F3">
            <v>11052.396207</v>
          </cell>
          <cell r="G3">
            <v>11052.396207</v>
          </cell>
          <cell r="H3">
            <v>10690.467135</v>
          </cell>
          <cell r="I3">
            <v>361.929071999999</v>
          </cell>
        </row>
        <row r="4">
          <cell r="A4" t="str">
            <v>成都</v>
          </cell>
          <cell r="B4">
            <v>11054364518.91</v>
          </cell>
          <cell r="C4">
            <v>1105436.451891</v>
          </cell>
          <cell r="D4">
            <v>70434.3400960211</v>
          </cell>
          <cell r="E4">
            <v>1035002.11179498</v>
          </cell>
          <cell r="F4">
            <v>250577.846925</v>
          </cell>
          <cell r="G4">
            <v>180143.506828979</v>
          </cell>
          <cell r="H4">
            <v>75593.7688999789</v>
          </cell>
          <cell r="I4">
            <v>104549.737929</v>
          </cell>
        </row>
        <row r="5">
          <cell r="A5" t="str">
            <v>自贡</v>
          </cell>
          <cell r="B5">
            <v>821599977.18</v>
          </cell>
          <cell r="C5">
            <v>82159.997718</v>
          </cell>
          <cell r="D5">
            <v>570.863118302742</v>
          </cell>
          <cell r="E5">
            <v>81589.1345996973</v>
          </cell>
          <cell r="F5">
            <v>10138.243009</v>
          </cell>
          <cell r="G5">
            <v>9567.37989069726</v>
          </cell>
          <cell r="H5">
            <v>4975.32076769726</v>
          </cell>
          <cell r="I5">
            <v>4592.059123</v>
          </cell>
        </row>
        <row r="6">
          <cell r="A6" t="str">
            <v>攀枝花</v>
          </cell>
          <cell r="B6">
            <v>419595469.65</v>
          </cell>
          <cell r="C6">
            <v>41959.546965</v>
          </cell>
          <cell r="D6">
            <v>277.948898117906</v>
          </cell>
          <cell r="E6">
            <v>41681.5980668821</v>
          </cell>
          <cell r="F6">
            <v>5868.082637</v>
          </cell>
          <cell r="G6">
            <v>5590.13373888209</v>
          </cell>
          <cell r="H6">
            <v>2118.10280388209</v>
          </cell>
          <cell r="I6">
            <v>3472.030935</v>
          </cell>
        </row>
        <row r="7">
          <cell r="A7" t="str">
            <v>泸州</v>
          </cell>
          <cell r="B7">
            <v>1635492736.96</v>
          </cell>
          <cell r="C7">
            <v>163549.273696</v>
          </cell>
          <cell r="D7">
            <v>995.725198171604</v>
          </cell>
          <cell r="E7">
            <v>162553.548497828</v>
          </cell>
          <cell r="F7">
            <v>17327.094433</v>
          </cell>
          <cell r="G7">
            <v>16331.3692348284</v>
          </cell>
          <cell r="H7">
            <v>5281.2143208284</v>
          </cell>
          <cell r="I7">
            <v>11050.154914</v>
          </cell>
        </row>
        <row r="8">
          <cell r="A8" t="str">
            <v>德阳</v>
          </cell>
          <cell r="B8">
            <v>1115499462.45</v>
          </cell>
          <cell r="C8">
            <v>111549.946245</v>
          </cell>
          <cell r="D8">
            <v>3095.76872925366</v>
          </cell>
          <cell r="E8">
            <v>108454.177515746</v>
          </cell>
          <cell r="F8">
            <v>17933.272637</v>
          </cell>
          <cell r="G8">
            <v>14837.5039077463</v>
          </cell>
          <cell r="H8">
            <v>7589.98897674634</v>
          </cell>
          <cell r="I8">
            <v>7247.514931</v>
          </cell>
        </row>
        <row r="9">
          <cell r="A9" t="str">
            <v>绵阳</v>
          </cell>
          <cell r="B9">
            <v>1834783632.04</v>
          </cell>
          <cell r="C9">
            <v>183478.363204</v>
          </cell>
          <cell r="D9">
            <v>1799.04869834002</v>
          </cell>
          <cell r="E9">
            <v>181679.31450566</v>
          </cell>
          <cell r="F9">
            <v>20315.387605</v>
          </cell>
          <cell r="G9">
            <v>18516.33890666</v>
          </cell>
          <cell r="H9">
            <v>8170.11517065998</v>
          </cell>
          <cell r="I9">
            <v>10346.223736</v>
          </cell>
        </row>
        <row r="10">
          <cell r="A10" t="str">
            <v>广元</v>
          </cell>
          <cell r="B10">
            <v>744521348.51</v>
          </cell>
          <cell r="C10">
            <v>74452.134851</v>
          </cell>
          <cell r="D10">
            <v>449.508699907689</v>
          </cell>
          <cell r="E10">
            <v>74002.6261510923</v>
          </cell>
          <cell r="F10">
            <v>11829.661423</v>
          </cell>
          <cell r="G10">
            <v>11380.1527230923</v>
          </cell>
          <cell r="H10">
            <v>4119.26822409231</v>
          </cell>
          <cell r="I10">
            <v>7260.884499</v>
          </cell>
        </row>
        <row r="11">
          <cell r="A11" t="str">
            <v>遂宁</v>
          </cell>
          <cell r="B11">
            <v>753568967.3</v>
          </cell>
          <cell r="C11">
            <v>75356.89673</v>
          </cell>
          <cell r="D11">
            <v>591.454777730295</v>
          </cell>
          <cell r="E11">
            <v>74765.4419522697</v>
          </cell>
          <cell r="F11">
            <v>9141.032708</v>
          </cell>
          <cell r="G11">
            <v>8549.57793026971</v>
          </cell>
          <cell r="H11">
            <v>3391.3965592697</v>
          </cell>
          <cell r="I11">
            <v>5158.181371</v>
          </cell>
        </row>
        <row r="12">
          <cell r="A12" t="str">
            <v>内江</v>
          </cell>
          <cell r="B12">
            <v>881279029.49</v>
          </cell>
          <cell r="C12">
            <v>88127.902949</v>
          </cell>
          <cell r="D12">
            <v>641.09363300738</v>
          </cell>
          <cell r="E12">
            <v>87486.8093159926</v>
          </cell>
          <cell r="F12">
            <v>8978.07063</v>
          </cell>
          <cell r="G12">
            <v>8336.97699699262</v>
          </cell>
          <cell r="H12">
            <v>3135.49682999262</v>
          </cell>
          <cell r="I12">
            <v>5201.480167</v>
          </cell>
        </row>
        <row r="13">
          <cell r="A13" t="str">
            <v>乐山</v>
          </cell>
          <cell r="B13">
            <v>1214992165.95</v>
          </cell>
          <cell r="C13">
            <v>121499.216595</v>
          </cell>
          <cell r="D13">
            <v>943.193676981853</v>
          </cell>
          <cell r="E13">
            <v>120556.022918018</v>
          </cell>
          <cell r="F13">
            <v>17009.818479</v>
          </cell>
          <cell r="G13">
            <v>16066.6248020181</v>
          </cell>
          <cell r="H13">
            <v>5977.04166101815</v>
          </cell>
          <cell r="I13">
            <v>10089.583141</v>
          </cell>
        </row>
        <row r="14">
          <cell r="A14" t="str">
            <v>南充</v>
          </cell>
          <cell r="B14">
            <v>1809537256.5</v>
          </cell>
          <cell r="C14">
            <v>180953.72565</v>
          </cell>
          <cell r="D14">
            <v>1311.81563775896</v>
          </cell>
          <cell r="E14">
            <v>179641.910012241</v>
          </cell>
          <cell r="F14">
            <v>13781.494375</v>
          </cell>
          <cell r="G14">
            <v>12469.678737241</v>
          </cell>
          <cell r="H14">
            <v>5627.91877524104</v>
          </cell>
          <cell r="I14">
            <v>6841.759962</v>
          </cell>
        </row>
        <row r="15">
          <cell r="A15" t="str">
            <v>眉山</v>
          </cell>
          <cell r="B15">
            <v>1211393158.36</v>
          </cell>
          <cell r="C15">
            <v>121139.315836</v>
          </cell>
          <cell r="D15">
            <v>190.897152046888</v>
          </cell>
          <cell r="E15">
            <v>120948.418683953</v>
          </cell>
          <cell r="F15">
            <v>19304.494963</v>
          </cell>
          <cell r="G15">
            <v>19113.5978109531</v>
          </cell>
          <cell r="H15">
            <v>5213.59669895311</v>
          </cell>
          <cell r="I15">
            <v>13900.001112</v>
          </cell>
        </row>
        <row r="16">
          <cell r="A16" t="str">
            <v>宜宾</v>
          </cell>
          <cell r="B16">
            <v>1510073777.01</v>
          </cell>
          <cell r="C16">
            <v>151007.377701</v>
          </cell>
          <cell r="D16">
            <v>10449.998884761</v>
          </cell>
          <cell r="E16">
            <v>140557.378816239</v>
          </cell>
          <cell r="F16">
            <v>25992.301428</v>
          </cell>
          <cell r="G16">
            <v>15542.302543239</v>
          </cell>
          <cell r="H16">
            <v>5046.362241239</v>
          </cell>
          <cell r="I16">
            <v>10495.940302</v>
          </cell>
        </row>
        <row r="17">
          <cell r="A17" t="str">
            <v>广安</v>
          </cell>
          <cell r="B17">
            <v>860155475.32</v>
          </cell>
          <cell r="C17">
            <v>86015.547532</v>
          </cell>
          <cell r="D17">
            <v>630.56797595555</v>
          </cell>
          <cell r="E17">
            <v>85384.9795560445</v>
          </cell>
          <cell r="F17">
            <v>11821.617471</v>
          </cell>
          <cell r="G17">
            <v>11191.0494950444</v>
          </cell>
          <cell r="H17">
            <v>3513.09017504445</v>
          </cell>
          <cell r="I17">
            <v>7677.95932</v>
          </cell>
        </row>
        <row r="18">
          <cell r="A18" t="str">
            <v>达州</v>
          </cell>
          <cell r="B18">
            <v>1211607071.23</v>
          </cell>
          <cell r="C18">
            <v>121160.707123</v>
          </cell>
          <cell r="D18">
            <v>805.898391577988</v>
          </cell>
          <cell r="E18">
            <v>120354.808731422</v>
          </cell>
          <cell r="F18">
            <v>13110.228348</v>
          </cell>
          <cell r="G18">
            <v>12304.329956422</v>
          </cell>
          <cell r="H18">
            <v>6111.61089842201</v>
          </cell>
          <cell r="I18">
            <v>6192.719058</v>
          </cell>
        </row>
        <row r="19">
          <cell r="A19" t="str">
            <v>雅安</v>
          </cell>
          <cell r="B19">
            <v>608422748.92</v>
          </cell>
          <cell r="C19">
            <v>60842.274892</v>
          </cell>
          <cell r="D19">
            <v>5185.81083696448</v>
          </cell>
          <cell r="E19">
            <v>55656.4640550355</v>
          </cell>
          <cell r="F19">
            <v>15975.350499</v>
          </cell>
          <cell r="G19">
            <v>10789.5396620355</v>
          </cell>
          <cell r="H19">
            <v>3601.41631303552</v>
          </cell>
          <cell r="I19">
            <v>7188.123349</v>
          </cell>
        </row>
        <row r="20">
          <cell r="A20" t="str">
            <v>巴中</v>
          </cell>
          <cell r="B20">
            <v>781293167.71</v>
          </cell>
          <cell r="C20">
            <v>78129.316771</v>
          </cell>
          <cell r="D20">
            <v>421.784277913029</v>
          </cell>
          <cell r="E20">
            <v>77707.532493087</v>
          </cell>
          <cell r="F20">
            <v>8018.492871</v>
          </cell>
          <cell r="G20">
            <v>7596.70859308697</v>
          </cell>
          <cell r="H20">
            <v>2433.91141408697</v>
          </cell>
          <cell r="I20">
            <v>5162.797179</v>
          </cell>
        </row>
        <row r="21">
          <cell r="A21" t="str">
            <v>资阳</v>
          </cell>
          <cell r="B21">
            <v>618001760.34</v>
          </cell>
          <cell r="C21">
            <v>61800.176034</v>
          </cell>
          <cell r="D21">
            <v>58.1687974359726</v>
          </cell>
          <cell r="E21">
            <v>61742.007236564</v>
          </cell>
          <cell r="F21">
            <v>4171.470235</v>
          </cell>
          <cell r="G21">
            <v>4113.30143756403</v>
          </cell>
          <cell r="H21">
            <v>1962.23594656403</v>
          </cell>
          <cell r="I21">
            <v>2151.065491</v>
          </cell>
        </row>
        <row r="22">
          <cell r="A22" t="str">
            <v>阿坝</v>
          </cell>
          <cell r="B22">
            <v>440417649.55</v>
          </cell>
          <cell r="C22">
            <v>44041.764955</v>
          </cell>
          <cell r="D22">
            <v>204.651716644133</v>
          </cell>
          <cell r="E22">
            <v>43837.1132383559</v>
          </cell>
          <cell r="F22">
            <v>9105.407722</v>
          </cell>
          <cell r="G22">
            <v>8900.75600535587</v>
          </cell>
          <cell r="H22">
            <v>5147.01182835587</v>
          </cell>
          <cell r="I22">
            <v>3753.744177</v>
          </cell>
        </row>
        <row r="23">
          <cell r="A23" t="str">
            <v>甘孜</v>
          </cell>
          <cell r="B23">
            <v>576213412.37</v>
          </cell>
          <cell r="C23">
            <v>57621.341237</v>
          </cell>
          <cell r="D23">
            <v>399.711296827025</v>
          </cell>
          <cell r="E23">
            <v>57221.629940173</v>
          </cell>
          <cell r="F23">
            <v>16854.921079</v>
          </cell>
          <cell r="G23">
            <v>16455.209782173</v>
          </cell>
          <cell r="H23">
            <v>8251.94500717298</v>
          </cell>
          <cell r="I23">
            <v>8203.264775</v>
          </cell>
        </row>
        <row r="24">
          <cell r="A24" t="str">
            <v>凉山</v>
          </cell>
          <cell r="B24">
            <v>1418014675.81</v>
          </cell>
          <cell r="C24">
            <v>141801.467581</v>
          </cell>
          <cell r="D24">
            <v>812.515405988252</v>
          </cell>
          <cell r="E24">
            <v>140988.952175012</v>
          </cell>
          <cell r="F24">
            <v>22660.812631</v>
          </cell>
          <cell r="G24">
            <v>21848.2972250117</v>
          </cell>
          <cell r="H24">
            <v>9430.22023901175</v>
          </cell>
          <cell r="I24">
            <v>12418.076986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8"/>
  <sheetViews>
    <sheetView tabSelected="1" workbookViewId="0">
      <pane xSplit="6" topLeftCell="AU1" activePane="topRight" state="frozen"/>
      <selection/>
      <selection pane="topRight" activeCell="AZ29" sqref="AZ29"/>
    </sheetView>
  </sheetViews>
  <sheetFormatPr defaultColWidth="9" defaultRowHeight="13.8"/>
  <cols>
    <col min="1" max="1" width="6.22222222222222" style="3" customWidth="1"/>
    <col min="2" max="2" width="9.44444444444444" style="3" customWidth="1"/>
    <col min="3" max="4" width="10.1388888888889" style="3" customWidth="1"/>
    <col min="5" max="6" width="10.5555555555556" style="3" customWidth="1"/>
    <col min="7" max="8" width="13" style="3" customWidth="1"/>
    <col min="9" max="10" width="10.7777777777778" style="3" customWidth="1"/>
    <col min="11" max="13" width="12.4444444444444" style="3" customWidth="1"/>
    <col min="14" max="14" width="9.88888888888889" style="3" customWidth="1"/>
    <col min="15" max="15" width="12.4444444444444" style="3" customWidth="1"/>
    <col min="16" max="16" width="13.8888888888889" style="3" customWidth="1"/>
    <col min="17" max="17" width="12.8888888888889" style="3" customWidth="1"/>
    <col min="18" max="18" width="11.8888888888889" style="3" customWidth="1"/>
    <col min="19" max="20" width="9" style="3" customWidth="1"/>
    <col min="21" max="21" width="6.88888888888889" style="3" customWidth="1"/>
    <col min="22" max="22" width="10.4444444444444" style="3" customWidth="1"/>
    <col min="23" max="24" width="10.4444444444444" style="4" customWidth="1"/>
    <col min="25" max="25" width="12.1111111111111" style="3" customWidth="1"/>
    <col min="26" max="27" width="10.4444444444444" style="3" customWidth="1"/>
    <col min="28" max="28" width="6.77777777777778" style="3" customWidth="1"/>
    <col min="29" max="29" width="10.4444444444444" style="3" customWidth="1"/>
    <col min="30" max="30" width="8.22222222222222" style="1" customWidth="1"/>
    <col min="31" max="31" width="10.4444444444444" style="3" customWidth="1"/>
    <col min="32" max="32" width="10.7777777777778" style="3" customWidth="1"/>
    <col min="33" max="36" width="9" style="3" customWidth="1"/>
    <col min="37" max="37" width="14.3333333333333" style="3" customWidth="1"/>
    <col min="38" max="38" width="8.88888888888889" style="3" customWidth="1"/>
    <col min="39" max="39" width="8.33333333333333" style="3" customWidth="1"/>
    <col min="40" max="41" width="9" style="3" customWidth="1"/>
    <col min="42" max="42" width="11.5555555555556" style="3" customWidth="1"/>
    <col min="43" max="57" width="10.6666666666667" style="3" customWidth="1"/>
    <col min="58" max="58" width="12.1111111111111" style="3" customWidth="1"/>
    <col min="59" max="59" width="13.7777777777778" style="3" customWidth="1"/>
    <col min="60" max="60" width="13.4444444444444" style="3" customWidth="1"/>
    <col min="61" max="61" width="13.8888888888889" style="3" customWidth="1"/>
    <col min="62" max="16384" width="9" style="3"/>
  </cols>
  <sheetData>
    <row r="1" ht="36" customHeight="1" spans="1:6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ht="61.2" customHeight="1" spans="1:62">
      <c r="A2" s="6" t="s">
        <v>1</v>
      </c>
      <c r="B2" s="6" t="s">
        <v>2</v>
      </c>
      <c r="C2" s="6" t="s">
        <v>3</v>
      </c>
      <c r="D2" s="6"/>
      <c r="E2" s="7" t="s">
        <v>4</v>
      </c>
      <c r="F2" s="8"/>
      <c r="G2" s="8"/>
      <c r="H2" s="9"/>
      <c r="I2" s="16" t="s">
        <v>5</v>
      </c>
      <c r="J2" s="16"/>
      <c r="K2" s="16"/>
      <c r="L2" s="16"/>
      <c r="M2" s="16"/>
      <c r="N2" s="16"/>
      <c r="O2" s="16"/>
      <c r="P2" s="17" t="s">
        <v>6</v>
      </c>
      <c r="Q2" s="17"/>
      <c r="R2" s="17"/>
      <c r="S2" s="17"/>
      <c r="T2" s="17"/>
      <c r="U2" s="17"/>
      <c r="V2" s="17"/>
      <c r="W2" s="25" t="s">
        <v>7</v>
      </c>
      <c r="X2" s="26"/>
      <c r="Y2" s="26"/>
      <c r="Z2" s="26"/>
      <c r="AA2" s="26"/>
      <c r="AB2" s="26"/>
      <c r="AC2" s="26"/>
      <c r="AD2" s="32"/>
      <c r="AE2" s="17" t="s">
        <v>8</v>
      </c>
      <c r="AF2" s="17"/>
      <c r="AG2" s="17"/>
      <c r="AH2" s="17"/>
      <c r="AI2" s="17"/>
      <c r="AJ2" s="17"/>
      <c r="AK2" s="17"/>
      <c r="AL2" s="37" t="s">
        <v>9</v>
      </c>
      <c r="AM2" s="38"/>
      <c r="AN2" s="38"/>
      <c r="AO2" s="38"/>
      <c r="AP2" s="38"/>
      <c r="AQ2" s="38"/>
      <c r="AR2" s="39"/>
      <c r="AS2" s="40" t="s">
        <v>10</v>
      </c>
      <c r="AT2" s="41"/>
      <c r="AU2" s="41"/>
      <c r="AV2" s="41"/>
      <c r="AW2" s="41"/>
      <c r="AX2" s="47"/>
      <c r="AY2" s="17" t="s">
        <v>11</v>
      </c>
      <c r="AZ2" s="17"/>
      <c r="BA2" s="17"/>
      <c r="BB2" s="17"/>
      <c r="BC2" s="17"/>
      <c r="BD2" s="17"/>
      <c r="BE2" s="17"/>
      <c r="BF2" s="52" t="s">
        <v>12</v>
      </c>
      <c r="BG2" s="52"/>
      <c r="BH2" s="52"/>
      <c r="BI2" s="52"/>
      <c r="BJ2" s="52"/>
    </row>
    <row r="3" ht="14.55" customHeight="1" spans="1:62">
      <c r="A3" s="6"/>
      <c r="B3" s="6"/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18" t="s">
        <v>19</v>
      </c>
      <c r="J3" s="18" t="s">
        <v>20</v>
      </c>
      <c r="K3" s="19" t="s">
        <v>21</v>
      </c>
      <c r="L3" s="19" t="s">
        <v>22</v>
      </c>
      <c r="M3" s="19" t="s">
        <v>23</v>
      </c>
      <c r="N3" s="20" t="s">
        <v>24</v>
      </c>
      <c r="O3" s="19" t="s">
        <v>25</v>
      </c>
      <c r="P3" s="18" t="s">
        <v>26</v>
      </c>
      <c r="Q3" s="18" t="s">
        <v>27</v>
      </c>
      <c r="R3" s="19" t="s">
        <v>28</v>
      </c>
      <c r="S3" s="19" t="s">
        <v>29</v>
      </c>
      <c r="T3" s="19" t="s">
        <v>30</v>
      </c>
      <c r="U3" s="20" t="s">
        <v>24</v>
      </c>
      <c r="V3" s="19" t="s">
        <v>31</v>
      </c>
      <c r="W3" s="27" t="s">
        <v>32</v>
      </c>
      <c r="X3" s="27" t="s">
        <v>33</v>
      </c>
      <c r="Y3" s="27" t="s">
        <v>34</v>
      </c>
      <c r="Z3" s="33" t="s">
        <v>35</v>
      </c>
      <c r="AA3" s="27" t="s">
        <v>36</v>
      </c>
      <c r="AB3" s="20" t="s">
        <v>24</v>
      </c>
      <c r="AC3" s="27" t="s">
        <v>37</v>
      </c>
      <c r="AD3" s="20" t="s">
        <v>24</v>
      </c>
      <c r="AE3" s="18" t="s">
        <v>38</v>
      </c>
      <c r="AF3" s="18" t="s">
        <v>39</v>
      </c>
      <c r="AG3" s="19" t="s">
        <v>40</v>
      </c>
      <c r="AH3" s="19" t="s">
        <v>41</v>
      </c>
      <c r="AI3" s="19" t="s">
        <v>42</v>
      </c>
      <c r="AJ3" s="20" t="s">
        <v>24</v>
      </c>
      <c r="AK3" s="19" t="s">
        <v>43</v>
      </c>
      <c r="AL3" s="18" t="s">
        <v>44</v>
      </c>
      <c r="AM3" s="18" t="s">
        <v>45</v>
      </c>
      <c r="AN3" s="19" t="s">
        <v>46</v>
      </c>
      <c r="AO3" s="20" t="s">
        <v>24</v>
      </c>
      <c r="AP3" s="19" t="s">
        <v>47</v>
      </c>
      <c r="AQ3" s="19" t="s">
        <v>48</v>
      </c>
      <c r="AR3" s="20" t="s">
        <v>24</v>
      </c>
      <c r="AS3" s="18" t="s">
        <v>49</v>
      </c>
      <c r="AT3" s="18" t="s">
        <v>50</v>
      </c>
      <c r="AU3" s="19" t="s">
        <v>51</v>
      </c>
      <c r="AV3" s="20" t="s">
        <v>24</v>
      </c>
      <c r="AW3" s="19" t="s">
        <v>52</v>
      </c>
      <c r="AX3" s="20" t="s">
        <v>24</v>
      </c>
      <c r="AY3" s="18" t="s">
        <v>53</v>
      </c>
      <c r="AZ3" s="18" t="s">
        <v>54</v>
      </c>
      <c r="BA3" s="48" t="s">
        <v>55</v>
      </c>
      <c r="BB3" s="19" t="s">
        <v>22</v>
      </c>
      <c r="BC3" s="19" t="s">
        <v>23</v>
      </c>
      <c r="BD3" s="20" t="s">
        <v>24</v>
      </c>
      <c r="BE3" s="19" t="s">
        <v>25</v>
      </c>
      <c r="BF3" s="53" t="s">
        <v>56</v>
      </c>
      <c r="BG3" s="53" t="s">
        <v>57</v>
      </c>
      <c r="BH3" s="18" t="s">
        <v>58</v>
      </c>
      <c r="BI3" s="18" t="s">
        <v>59</v>
      </c>
      <c r="BJ3" s="20" t="s">
        <v>24</v>
      </c>
    </row>
    <row r="4" ht="49.05" customHeight="1" spans="1:62">
      <c r="A4" s="6"/>
      <c r="B4" s="6"/>
      <c r="C4" s="6"/>
      <c r="D4" s="6"/>
      <c r="E4" s="6"/>
      <c r="F4" s="6"/>
      <c r="G4" s="6"/>
      <c r="H4" s="6"/>
      <c r="I4" s="18"/>
      <c r="J4" s="18"/>
      <c r="K4" s="19"/>
      <c r="L4" s="19"/>
      <c r="M4" s="19"/>
      <c r="N4" s="20"/>
      <c r="O4" s="19"/>
      <c r="P4" s="18"/>
      <c r="Q4" s="18"/>
      <c r="R4" s="19"/>
      <c r="S4" s="19"/>
      <c r="T4" s="19"/>
      <c r="U4" s="20"/>
      <c r="V4" s="19"/>
      <c r="W4" s="28"/>
      <c r="X4" s="28"/>
      <c r="Y4" s="28"/>
      <c r="Z4" s="34"/>
      <c r="AA4" s="28"/>
      <c r="AB4" s="20"/>
      <c r="AC4" s="28"/>
      <c r="AD4" s="20"/>
      <c r="AE4" s="18"/>
      <c r="AF4" s="18"/>
      <c r="AG4" s="19"/>
      <c r="AH4" s="19"/>
      <c r="AI4" s="19"/>
      <c r="AJ4" s="20"/>
      <c r="AK4" s="19"/>
      <c r="AL4" s="18"/>
      <c r="AM4" s="18"/>
      <c r="AN4" s="19"/>
      <c r="AO4" s="20"/>
      <c r="AP4" s="19"/>
      <c r="AQ4" s="19"/>
      <c r="AR4" s="20"/>
      <c r="AS4" s="18"/>
      <c r="AT4" s="18"/>
      <c r="AU4" s="19"/>
      <c r="AV4" s="20"/>
      <c r="AW4" s="19"/>
      <c r="AX4" s="20"/>
      <c r="AY4" s="18"/>
      <c r="AZ4" s="18"/>
      <c r="BA4" s="48"/>
      <c r="BB4" s="19"/>
      <c r="BC4" s="19"/>
      <c r="BD4" s="20"/>
      <c r="BE4" s="19"/>
      <c r="BF4" s="53"/>
      <c r="BG4" s="53"/>
      <c r="BH4" s="18"/>
      <c r="BI4" s="18"/>
      <c r="BJ4" s="20"/>
    </row>
    <row r="5" s="1" customFormat="1" ht="15" customHeight="1" spans="1:62">
      <c r="A5" s="10">
        <v>1</v>
      </c>
      <c r="B5" s="10" t="s">
        <v>60</v>
      </c>
      <c r="C5" s="11">
        <v>1022865.12213204</v>
      </c>
      <c r="D5" s="11">
        <v>196366.643824038</v>
      </c>
      <c r="E5" s="12">
        <f>VLOOKUP(B5,[6]Sheet1!$A$2:$I$24,5,0)</f>
        <v>1035002.11179498</v>
      </c>
      <c r="F5" s="12">
        <f>VLOOKUP(B5,[6]Sheet1!$A$2:$I$24,7,0)</f>
        <v>180143.506828979</v>
      </c>
      <c r="G5" s="13">
        <f t="shared" ref="G5:G25" si="0">E5/C5-1</f>
        <v>0.011865679453066</v>
      </c>
      <c r="H5" s="13">
        <f t="shared" ref="H5:H25" si="1">F5/D5-1</f>
        <v>-0.0826165619533447</v>
      </c>
      <c r="I5" s="21">
        <f>VLOOKUP(B5,[3]计算结果表!$B$1:$P$29,2,0)</f>
        <v>47796.33072</v>
      </c>
      <c r="J5" s="21">
        <f>VLOOKUP(B5,[2]计算结果表!$B$1:$R$30,13,0)</f>
        <v>65648.641436</v>
      </c>
      <c r="K5" s="22">
        <f t="shared" ref="K5:K26" si="2">J5/I5-1</f>
        <v>0.37350797534192</v>
      </c>
      <c r="L5" s="22">
        <f t="shared" ref="L5:L26" si="3">I5/C5</f>
        <v>0.0467278917677575</v>
      </c>
      <c r="M5" s="22">
        <f t="shared" ref="M5:M26" si="4">J5/E5</f>
        <v>0.0634285096502336</v>
      </c>
      <c r="N5" s="23">
        <f>RANK(M5,$M$5:$M$25,1)</f>
        <v>3</v>
      </c>
      <c r="O5" s="22">
        <f t="shared" ref="O5:O26" si="5">M5-L5</f>
        <v>0.0167006178824761</v>
      </c>
      <c r="P5" s="21">
        <f>VLOOKUP(B5,[3]计算结果表!$B$1:$P$29,13,0)</f>
        <v>39848.969757</v>
      </c>
      <c r="Q5" s="21">
        <f>VLOOKUP(B5,[2]计算结果表!$B$1:$R$30,15,0)</f>
        <v>49949.913611</v>
      </c>
      <c r="R5" s="22">
        <f t="shared" ref="R5:R26" si="6">Q5/P5-1</f>
        <v>0.253480677558185</v>
      </c>
      <c r="S5" s="22">
        <f t="shared" ref="S5:S26" si="7">P5/D5</f>
        <v>0.202931460155261</v>
      </c>
      <c r="T5" s="22">
        <f t="shared" ref="T5:T26" si="8">Q5/F5</f>
        <v>0.277278456993848</v>
      </c>
      <c r="U5" s="23">
        <f>RANK(T5,$T$5:$T$25,1)</f>
        <v>2</v>
      </c>
      <c r="V5" s="22">
        <f t="shared" ref="V5:V26" si="9">T5-S5</f>
        <v>0.0743469968385869</v>
      </c>
      <c r="W5" s="29">
        <f>VLOOKUP(B5,[2]计算结果表!$V$1:$Z$25,2,0)+VLOOKUP(B5,[2]计算结果表!$V$1:$Z$25,4,0)</f>
        <v>5116.917289</v>
      </c>
      <c r="X5" s="29">
        <f>VLOOKUP(B5,[2]计算结果表!$V$1:$Z$25,3,0)+VLOOKUP(B5,[2]计算结果表!$V$1:$Z$25,5,0)+VLOOKUP(B5,[2]计算结果表!$B$1:$R$28,5,0)</f>
        <v>44832.996322</v>
      </c>
      <c r="Y5" s="29">
        <f>VLOOKUP(B5,[6]Sheet1!$A$2:$I$24,8,0)</f>
        <v>75593.7688999789</v>
      </c>
      <c r="Z5" s="29">
        <f>VLOOKUP(B5,[6]Sheet1!$A$2:$I$24,9,0)</f>
        <v>104549.737929</v>
      </c>
      <c r="AA5" s="22">
        <f t="shared" ref="AA5:AA25" si="10">W5/(Y5)</f>
        <v>0.0676896702394928</v>
      </c>
      <c r="AB5" s="23">
        <f>RANK(AA5,$AA$5:$AA$25,1)</f>
        <v>1</v>
      </c>
      <c r="AC5" s="22">
        <f t="shared" ref="AC5:AC25" si="11">X5/Z5</f>
        <v>0.428819786735823</v>
      </c>
      <c r="AD5" s="23">
        <f>RANK(AC5,$AC$5:$AC$25,1)</f>
        <v>3</v>
      </c>
      <c r="AE5" s="35">
        <f>VLOOKUP(B5,[3]计算结果表!$B$1:$P$29,14,0)</f>
        <v>20914.229091</v>
      </c>
      <c r="AF5" s="35">
        <f>VLOOKUP(B5,[2]计算结果表!$B$1:$R$30,16,0)</f>
        <v>15698.727825</v>
      </c>
      <c r="AG5" s="13">
        <f t="shared" ref="AG5:AG26" si="12">AF5/AE5-1</f>
        <v>-0.249375735692041</v>
      </c>
      <c r="AH5" s="13">
        <f t="shared" ref="AH5:AH26" si="13">AE5/(C5-D5)</f>
        <v>0.0253046189919374</v>
      </c>
      <c r="AI5" s="13">
        <f t="shared" ref="AI5:AI26" si="14">AF5/(E5-F5)</f>
        <v>0.0183641221294419</v>
      </c>
      <c r="AJ5" s="23">
        <f>RANK(AI5,$AI$5:$AI$25,1)</f>
        <v>5</v>
      </c>
      <c r="AK5" s="13">
        <f t="shared" ref="AK5:AK26" si="15">AI5-AH5</f>
        <v>-0.00694049686249547</v>
      </c>
      <c r="AL5" s="21">
        <v>6300</v>
      </c>
      <c r="AM5" s="21">
        <f>VLOOKUP(B5,[1]Sheet1!$B$28:$F$52,4,0)</f>
        <v>15814.297999</v>
      </c>
      <c r="AN5" s="22">
        <f t="shared" ref="AN5:AN26" si="16">AM5/AL5-1</f>
        <v>1.5102060315873</v>
      </c>
      <c r="AO5" s="23">
        <f>RANK(AN5,$AN$5:$AN$25,1)</f>
        <v>13</v>
      </c>
      <c r="AP5" s="22">
        <f t="shared" ref="AP5:AP26" si="17">AL5/I5</f>
        <v>0.13180928127949</v>
      </c>
      <c r="AQ5" s="22" t="e">
        <f>AM5/#REF!</f>
        <v>#REF!</v>
      </c>
      <c r="AR5" s="23" t="e">
        <f>RANK(AQ5,$AQ$5:$AQ$25,1)</f>
        <v>#REF!</v>
      </c>
      <c r="AS5" s="42">
        <v>5120.221656</v>
      </c>
      <c r="AT5" s="42">
        <f>VLOOKUP(B5,[1]Sheet1!$B$28:$F$52,2,0)</f>
        <v>9565.440423</v>
      </c>
      <c r="AU5" s="43">
        <f t="shared" ref="AU5:AU26" si="18">AT5/Q5</f>
        <v>0.191500639970947</v>
      </c>
      <c r="AV5" s="44">
        <f>RANK(AU5,$AU$5:$AU$25,1)</f>
        <v>15</v>
      </c>
      <c r="AW5" s="49">
        <f t="shared" ref="AW5:AW26" si="19">AT5/AS5-1</f>
        <v>0.868169205485662</v>
      </c>
      <c r="AX5" s="50">
        <f>RANK(AW5,$AW$5:$AW$25,1)</f>
        <v>9</v>
      </c>
      <c r="AY5" s="21">
        <f>VLOOKUP(B5,[3]计算结果表!$B$1:$P$29,15,0)</f>
        <v>105126.275582</v>
      </c>
      <c r="AZ5" s="21">
        <f>VLOOKUP(B5,[2]计算结果表!$B$1:$R$30,17,0)</f>
        <v>104859.488095</v>
      </c>
      <c r="BA5" s="22">
        <f t="shared" ref="BA5:BA26" si="20">AZ5/AY5-1</f>
        <v>-0.00253778121143378</v>
      </c>
      <c r="BB5" s="22">
        <f t="shared" ref="BB5:BB26" si="21">AY5/C5</f>
        <v>0.102776283311799</v>
      </c>
      <c r="BC5" s="22">
        <f t="shared" ref="BC5:BC26" si="22">AZ5/E5</f>
        <v>0.10131330834982</v>
      </c>
      <c r="BD5" s="23">
        <f>RANK(BC5,$BC$5:$BC$25,0)</f>
        <v>3</v>
      </c>
      <c r="BE5" s="22">
        <f t="shared" ref="BE5:BE26" si="23">BC5-BB5</f>
        <v>-0.0014629749619787</v>
      </c>
      <c r="BF5" s="29">
        <f>VLOOKUP(B5,[5]市州营业收现率202412完成!$B$1:$AH$28,6,0)</f>
        <v>1075493.024249</v>
      </c>
      <c r="BG5" s="29">
        <f>VLOOKUP(B5,[4]市州营业收现率12月完成!$B$1:$AI$28,7,0)</f>
        <v>1117224.67958598</v>
      </c>
      <c r="BH5" s="22">
        <f>VLOOKUP(B5,[5]市州营业收现率202412完成!$B$1:$AH$28,5,0)</f>
        <v>1.05145145824042</v>
      </c>
      <c r="BI5" s="22">
        <f>VLOOKUP(B5,[4]市州营业收现率12月完成!$B$1:$AI$28,5,0)</f>
        <v>1.0794419323922</v>
      </c>
      <c r="BJ5" s="54">
        <f>RANK(BI5,$BI$5:$BI$25,0)</f>
        <v>3</v>
      </c>
    </row>
    <row r="6" s="1" customFormat="1" ht="15" customHeight="1" spans="1:62">
      <c r="A6" s="10">
        <v>2</v>
      </c>
      <c r="B6" s="10" t="s">
        <v>61</v>
      </c>
      <c r="C6" s="11">
        <v>186112.877439</v>
      </c>
      <c r="D6" s="11">
        <v>22534.637712</v>
      </c>
      <c r="E6" s="12">
        <f>VLOOKUP(B6,[6]Sheet1!$A$2:$I$24,5,0)</f>
        <v>181679.31450566</v>
      </c>
      <c r="F6" s="12">
        <f>VLOOKUP(B6,[6]Sheet1!$A$2:$I$24,7,0)</f>
        <v>18516.33890666</v>
      </c>
      <c r="G6" s="13">
        <f t="shared" si="0"/>
        <v>-0.0238219031071245</v>
      </c>
      <c r="H6" s="13">
        <f t="shared" si="1"/>
        <v>-0.178316547915931</v>
      </c>
      <c r="I6" s="21">
        <f>VLOOKUP(B6,[3]计算结果表!$B$1:$P$29,2,0)</f>
        <v>8492.481932</v>
      </c>
      <c r="J6" s="21">
        <f>VLOOKUP(B6,[2]计算结果表!$B$1:$R$30,13,0)</f>
        <v>12485.355046</v>
      </c>
      <c r="K6" s="22">
        <f t="shared" si="2"/>
        <v>0.470165629549908</v>
      </c>
      <c r="L6" s="22">
        <f t="shared" si="3"/>
        <v>0.0456308131326564</v>
      </c>
      <c r="M6" s="22">
        <f t="shared" si="4"/>
        <v>0.0687219405245556</v>
      </c>
      <c r="N6" s="23">
        <f>RANK(M6,$M$5:$M$25,1)</f>
        <v>4</v>
      </c>
      <c r="O6" s="22">
        <f t="shared" si="5"/>
        <v>0.0230911273918992</v>
      </c>
      <c r="P6" s="21">
        <f>VLOOKUP(B6,[3]计算结果表!$B$1:$P$29,13,0)</f>
        <v>4043.984935</v>
      </c>
      <c r="Q6" s="21">
        <f>VLOOKUP(B6,[2]计算结果表!$B$1:$R$30,15,0)</f>
        <v>7794.583435</v>
      </c>
      <c r="R6" s="22">
        <f t="shared" si="6"/>
        <v>0.927451155304563</v>
      </c>
      <c r="S6" s="22">
        <f t="shared" si="7"/>
        <v>0.179456398930546</v>
      </c>
      <c r="T6" s="22">
        <f t="shared" si="8"/>
        <v>0.420957051731021</v>
      </c>
      <c r="U6" s="23">
        <f>RANK(T6,$T$5:$T$25,1)</f>
        <v>5</v>
      </c>
      <c r="V6" s="22">
        <f t="shared" si="9"/>
        <v>0.241500652800476</v>
      </c>
      <c r="W6" s="29">
        <f>VLOOKUP(B6,[2]计算结果表!$V$1:$Z$25,2,0)+VLOOKUP(B6,[2]计算结果表!$V$1:$Z$25,4,0)</f>
        <v>1020.705739</v>
      </c>
      <c r="X6" s="29">
        <f>VLOOKUP(B6,[2]计算结果表!$V$1:$Z$25,3,0)+VLOOKUP(B6,[2]计算结果表!$V$1:$Z$25,5,0)+VLOOKUP(B6,[2]计算结果表!$B$1:$R$28,5,0)</f>
        <v>6773.877696</v>
      </c>
      <c r="Y6" s="29">
        <f>VLOOKUP(B6,[6]Sheet1!$A$2:$I$24,8,0)</f>
        <v>8170.11517065998</v>
      </c>
      <c r="Z6" s="29">
        <f>VLOOKUP(B6,[6]Sheet1!$A$2:$I$24,9,0)</f>
        <v>10346.223736</v>
      </c>
      <c r="AA6" s="22">
        <f t="shared" si="10"/>
        <v>0.124931621853447</v>
      </c>
      <c r="AB6" s="23">
        <f>RANK(AA6,$AA$5:$AA$25,1)</f>
        <v>5</v>
      </c>
      <c r="AC6" s="22">
        <f t="shared" si="11"/>
        <v>0.654719815542949</v>
      </c>
      <c r="AD6" s="23">
        <f>RANK(AC6,$AC$5:$AC$25,1)</f>
        <v>9</v>
      </c>
      <c r="AE6" s="35">
        <f>VLOOKUP(B6,[3]计算结果表!$B$1:$P$29,14,0)</f>
        <v>4953.996997</v>
      </c>
      <c r="AF6" s="35">
        <f>VLOOKUP(B6,[2]计算结果表!$B$1:$R$30,16,0)</f>
        <v>4690.771611</v>
      </c>
      <c r="AG6" s="13">
        <f t="shared" si="12"/>
        <v>-0.0531339413728756</v>
      </c>
      <c r="AH6" s="13">
        <f t="shared" si="13"/>
        <v>0.0302851834404616</v>
      </c>
      <c r="AI6" s="13">
        <f t="shared" si="14"/>
        <v>0.028748995253239</v>
      </c>
      <c r="AJ6" s="23">
        <f>RANK(AI6,$AI$5:$AI$25,1)</f>
        <v>12</v>
      </c>
      <c r="AK6" s="13">
        <f t="shared" si="15"/>
        <v>-0.00153618818722261</v>
      </c>
      <c r="AL6" s="21">
        <v>698.12151</v>
      </c>
      <c r="AM6" s="21">
        <f>VLOOKUP(B6,[1]Sheet1!$B$28:$F$52,4,0)</f>
        <v>1675.261508</v>
      </c>
      <c r="AN6" s="22">
        <f t="shared" si="16"/>
        <v>1.39967037829847</v>
      </c>
      <c r="AO6" s="23">
        <f>RANK(AN6,$AN$5:$AN$25,1)</f>
        <v>12</v>
      </c>
      <c r="AP6" s="22">
        <f t="shared" si="17"/>
        <v>0.0822046506062558</v>
      </c>
      <c r="AQ6" s="22" t="e">
        <f>AM6/#REF!</f>
        <v>#REF!</v>
      </c>
      <c r="AR6" s="23" t="e">
        <f>RANK(AQ6,$AQ$5:$AQ$25,1)</f>
        <v>#REF!</v>
      </c>
      <c r="AS6" s="42">
        <v>316.434613</v>
      </c>
      <c r="AT6" s="42">
        <f>VLOOKUP(B6,[1]Sheet1!$B$28:$F$52,2,0)</f>
        <v>1055.006141</v>
      </c>
      <c r="AU6" s="43">
        <f t="shared" si="18"/>
        <v>0.135351189681633</v>
      </c>
      <c r="AV6" s="44">
        <f>RANK(AU6,$AU$5:$AU$25,1)</f>
        <v>9</v>
      </c>
      <c r="AW6" s="49">
        <f t="shared" si="19"/>
        <v>2.33404152914207</v>
      </c>
      <c r="AX6" s="50">
        <f>RANK(AW6,$AW$5:$AW$25,1)</f>
        <v>14</v>
      </c>
      <c r="AY6" s="21">
        <f>VLOOKUP(B6,[3]计算结果表!$B$1:$P$29,15,0)</f>
        <v>12652.486585</v>
      </c>
      <c r="AZ6" s="21">
        <f>VLOOKUP(B6,[2]计算结果表!$B$1:$R$30,17,0)</f>
        <v>13569.426589</v>
      </c>
      <c r="BA6" s="22">
        <f t="shared" si="20"/>
        <v>0.0724711303062804</v>
      </c>
      <c r="BB6" s="22">
        <f t="shared" si="21"/>
        <v>0.0679828648028235</v>
      </c>
      <c r="BC6" s="22">
        <f t="shared" si="22"/>
        <v>0.0746888913904244</v>
      </c>
      <c r="BD6" s="23">
        <f>RANK(BC6,$BC$5:$BC$25,0)</f>
        <v>12</v>
      </c>
      <c r="BE6" s="22">
        <f t="shared" si="23"/>
        <v>0.00670602658760092</v>
      </c>
      <c r="BF6" s="29">
        <f>VLOOKUP(B6,[5]市州营业收现率202412完成!$B$1:$AH$28,6,0)</f>
        <v>184023.786981</v>
      </c>
      <c r="BG6" s="29">
        <f>VLOOKUP(B6,[4]市州营业收现率12月完成!$B$1:$AI$28,7,0)</f>
        <v>188666.64345666</v>
      </c>
      <c r="BH6" s="22">
        <f>VLOOKUP(B6,[5]市州营业收现率202412完成!$B$1:$AH$28,5,0)</f>
        <v>0.988775142877017</v>
      </c>
      <c r="BI6" s="22">
        <f>VLOOKUP(B6,[4]市州营业收现率12月完成!$B$1:$AI$28,5,0)</f>
        <v>1.03845968359145</v>
      </c>
      <c r="BJ6" s="54">
        <f>RANK(BI6,$BI$5:$BI$25,0)</f>
        <v>13</v>
      </c>
    </row>
    <row r="7" s="1" customFormat="1" ht="15" customHeight="1" spans="1:62">
      <c r="A7" s="10">
        <v>3</v>
      </c>
      <c r="B7" s="10" t="s">
        <v>62</v>
      </c>
      <c r="C7" s="11">
        <v>182016.220024</v>
      </c>
      <c r="D7" s="11">
        <v>16400.826322</v>
      </c>
      <c r="E7" s="12">
        <f>VLOOKUP(B7,[6]Sheet1!$A$2:$I$24,5,0)</f>
        <v>179641.910012241</v>
      </c>
      <c r="F7" s="12">
        <f>VLOOKUP(B7,[6]Sheet1!$A$2:$I$24,7,0)</f>
        <v>12469.678737241</v>
      </c>
      <c r="G7" s="13">
        <f t="shared" si="0"/>
        <v>-0.0130444968665208</v>
      </c>
      <c r="H7" s="13">
        <f t="shared" si="1"/>
        <v>-0.239692044021329</v>
      </c>
      <c r="I7" s="21">
        <f>VLOOKUP(B7,[3]计算结果表!$B$1:$P$29,2,0)</f>
        <v>9361.386221</v>
      </c>
      <c r="J7" s="21">
        <f>VLOOKUP(B7,[2]计算结果表!$B$1:$R$30,13,0)</f>
        <v>16910.44903</v>
      </c>
      <c r="K7" s="22">
        <f t="shared" si="2"/>
        <v>0.806404375461564</v>
      </c>
      <c r="L7" s="22">
        <f t="shared" si="3"/>
        <v>0.0514316043908924</v>
      </c>
      <c r="M7" s="22">
        <f t="shared" si="4"/>
        <v>0.0941342085978027</v>
      </c>
      <c r="N7" s="23">
        <f>RANK(M7,$M$5:$M$25,1)</f>
        <v>11</v>
      </c>
      <c r="O7" s="22">
        <f t="shared" si="5"/>
        <v>0.0427026042069103</v>
      </c>
      <c r="P7" s="21">
        <f>VLOOKUP(B7,[3]计算结果表!$B$1:$P$29,13,0)</f>
        <v>6204.277538</v>
      </c>
      <c r="Q7" s="21">
        <f>VLOOKUP(B7,[2]计算结果表!$B$1:$R$30,15,0)</f>
        <v>9703.428448</v>
      </c>
      <c r="R7" s="22">
        <f t="shared" si="6"/>
        <v>0.563990067911756</v>
      </c>
      <c r="S7" s="22">
        <f t="shared" si="7"/>
        <v>0.378290545621937</v>
      </c>
      <c r="T7" s="22">
        <f t="shared" si="8"/>
        <v>0.778161863867469</v>
      </c>
      <c r="U7" s="23">
        <f>RANK(T7,$T$5:$T$25,1)</f>
        <v>20</v>
      </c>
      <c r="V7" s="22">
        <f t="shared" si="9"/>
        <v>0.399871318245532</v>
      </c>
      <c r="W7" s="29">
        <f>VLOOKUP(B7,[2]计算结果表!$V$1:$Z$25,2,0)+VLOOKUP(B7,[2]计算结果表!$V$1:$Z$25,4,0)</f>
        <v>984.452773</v>
      </c>
      <c r="X7" s="29">
        <f>VLOOKUP(B7,[2]计算结果表!$V$1:$Z$25,3,0)+VLOOKUP(B7,[2]计算结果表!$V$1:$Z$25,5,0)+VLOOKUP(B7,[2]计算结果表!$B$1:$R$28,5,0)</f>
        <v>8718.975675</v>
      </c>
      <c r="Y7" s="29">
        <f>VLOOKUP(B7,[6]Sheet1!$A$2:$I$24,8,0)</f>
        <v>5627.91877524104</v>
      </c>
      <c r="Z7" s="29">
        <f>VLOOKUP(B7,[6]Sheet1!$A$2:$I$24,9,0)</f>
        <v>6841.759962</v>
      </c>
      <c r="AA7" s="22">
        <f t="shared" si="10"/>
        <v>0.17492305989399</v>
      </c>
      <c r="AB7" s="23">
        <f>RANK(AA7,$AA$5:$AA$25,1)</f>
        <v>7</v>
      </c>
      <c r="AC7" s="22">
        <f t="shared" si="11"/>
        <v>1.27437614348154</v>
      </c>
      <c r="AD7" s="23">
        <f>RANK(AC7,$AC$5:$AC$25,1)</f>
        <v>18</v>
      </c>
      <c r="AE7" s="35">
        <f>VLOOKUP(B7,[3]计算结果表!$B$1:$P$29,14,0)</f>
        <v>5797.68647</v>
      </c>
      <c r="AF7" s="35">
        <f>VLOOKUP(B7,[2]计算结果表!$B$1:$R$30,16,0)</f>
        <v>7207.020582</v>
      </c>
      <c r="AG7" s="13">
        <f t="shared" si="12"/>
        <v>0.243085603075049</v>
      </c>
      <c r="AH7" s="13">
        <f t="shared" si="13"/>
        <v>0.0350069298535863</v>
      </c>
      <c r="AI7" s="13">
        <f t="shared" si="14"/>
        <v>0.0431113500551678</v>
      </c>
      <c r="AJ7" s="23">
        <f>RANK(AI7,$AI$5:$AI$25,1)</f>
        <v>17</v>
      </c>
      <c r="AK7" s="13">
        <f t="shared" si="15"/>
        <v>0.00810442020158153</v>
      </c>
      <c r="AL7" s="21">
        <v>2864.932114</v>
      </c>
      <c r="AM7" s="21">
        <f>VLOOKUP(B7,[1]Sheet1!$B$28:$F$52,4,0)</f>
        <v>2929.769613</v>
      </c>
      <c r="AN7" s="22">
        <f t="shared" si="16"/>
        <v>0.0226314259535714</v>
      </c>
      <c r="AO7" s="23">
        <f>RANK(AN7,$AN$5:$AN$25,1)</f>
        <v>4</v>
      </c>
      <c r="AP7" s="22">
        <f t="shared" si="17"/>
        <v>0.306037166544119</v>
      </c>
      <c r="AQ7" s="22" t="e">
        <f>AM7/#REF!</f>
        <v>#REF!</v>
      </c>
      <c r="AR7" s="23" t="e">
        <f>RANK(AQ7,$AQ$5:$AQ$25,1)</f>
        <v>#REF!</v>
      </c>
      <c r="AS7" s="42">
        <v>2574.05861</v>
      </c>
      <c r="AT7" s="42">
        <f>VLOOKUP(B7,[1]Sheet1!$B$28:$F$52,2,0)</f>
        <v>2420.843334</v>
      </c>
      <c r="AU7" s="43">
        <f t="shared" si="18"/>
        <v>0.249483298297414</v>
      </c>
      <c r="AV7" s="44">
        <f>RANK(AU7,$AU$5:$AU$25,1)</f>
        <v>17</v>
      </c>
      <c r="AW7" s="49">
        <f t="shared" si="19"/>
        <v>-0.0595228389146897</v>
      </c>
      <c r="AX7" s="50">
        <f>RANK(AW7,$AW$5:$AW$25,1)</f>
        <v>3</v>
      </c>
      <c r="AY7" s="21">
        <f>VLOOKUP(B7,[3]计算结果表!$B$1:$P$29,15,0)</f>
        <v>7938.027252</v>
      </c>
      <c r="AZ7" s="21">
        <f>VLOOKUP(B7,[2]计算结果表!$B$1:$R$30,17,0)</f>
        <v>9996.227752</v>
      </c>
      <c r="BA7" s="22">
        <f t="shared" si="20"/>
        <v>0.259283627362382</v>
      </c>
      <c r="BB7" s="22">
        <f t="shared" si="21"/>
        <v>0.04361164763752</v>
      </c>
      <c r="BC7" s="22">
        <f t="shared" si="22"/>
        <v>0.0556452987575051</v>
      </c>
      <c r="BD7" s="23">
        <f>RANK(BC7,$BC$5:$BC$25,0)</f>
        <v>19</v>
      </c>
      <c r="BE7" s="22">
        <f t="shared" si="23"/>
        <v>0.0120336511199851</v>
      </c>
      <c r="BF7" s="29">
        <f>VLOOKUP(B7,[5]市州营业收现率202412完成!$B$1:$AH$28,6,0)</f>
        <v>175308.572968</v>
      </c>
      <c r="BG7" s="29">
        <f>VLOOKUP(B7,[4]市州营业收现率12月完成!$B$1:$AI$28,7,0)</f>
        <v>189823.623607241</v>
      </c>
      <c r="BH7" s="22">
        <f>VLOOKUP(B7,[5]市州营业收现率202412完成!$B$1:$AH$28,5,0)</f>
        <v>0.963148080675912</v>
      </c>
      <c r="BI7" s="22">
        <f>VLOOKUP(B7,[4]市州营业收现率12月完成!$B$1:$AI$28,5,0)</f>
        <v>1.05667782976871</v>
      </c>
      <c r="BJ7" s="54">
        <f>RANK(BI7,$BI$5:$BI$25,0)</f>
        <v>9</v>
      </c>
    </row>
    <row r="8" s="1" customFormat="1" ht="15" customHeight="1" spans="1:62">
      <c r="A8" s="10">
        <v>4</v>
      </c>
      <c r="B8" s="10" t="s">
        <v>63</v>
      </c>
      <c r="C8" s="11">
        <v>163512.150081</v>
      </c>
      <c r="D8" s="11">
        <v>16643.253659</v>
      </c>
      <c r="E8" s="12">
        <f>VLOOKUP(B8,[6]Sheet1!$A$2:$I$24,5,0)</f>
        <v>162553.548497828</v>
      </c>
      <c r="F8" s="12">
        <f>VLOOKUP(B8,[6]Sheet1!$A$2:$I$24,7,0)</f>
        <v>16331.3692348284</v>
      </c>
      <c r="G8" s="13">
        <f t="shared" si="0"/>
        <v>-0.00586257096305776</v>
      </c>
      <c r="H8" s="13">
        <f t="shared" si="1"/>
        <v>-0.0187393901794525</v>
      </c>
      <c r="I8" s="21">
        <f>VLOOKUP(B8,[3]计算结果表!$B$1:$P$29,2,0)</f>
        <v>8830.693923</v>
      </c>
      <c r="J8" s="21">
        <f>VLOOKUP(B8,[2]计算结果表!$B$1:$R$30,13,0)</f>
        <v>13588.012331</v>
      </c>
      <c r="K8" s="22">
        <f t="shared" si="2"/>
        <v>0.538725319831244</v>
      </c>
      <c r="L8" s="22">
        <f t="shared" si="3"/>
        <v>0.054006347042868</v>
      </c>
      <c r="M8" s="22">
        <f t="shared" si="4"/>
        <v>0.083590991747446</v>
      </c>
      <c r="N8" s="23">
        <f>RANK(M8,$M$5:$M$25,1)</f>
        <v>7</v>
      </c>
      <c r="O8" s="22">
        <f t="shared" si="5"/>
        <v>0.029584644704578</v>
      </c>
      <c r="P8" s="21">
        <f>VLOOKUP(B8,[3]计算结果表!$B$1:$P$29,13,0)</f>
        <v>6070.839143</v>
      </c>
      <c r="Q8" s="21">
        <f>VLOOKUP(B8,[2]计算结果表!$B$1:$R$30,15,0)</f>
        <v>8880.287901</v>
      </c>
      <c r="R8" s="22">
        <f t="shared" si="6"/>
        <v>0.4627776641454</v>
      </c>
      <c r="S8" s="22">
        <f t="shared" si="7"/>
        <v>0.364762760178034</v>
      </c>
      <c r="T8" s="22">
        <f t="shared" si="8"/>
        <v>0.543756483201778</v>
      </c>
      <c r="U8" s="23">
        <f>RANK(T8,$T$5:$T$25,1)</f>
        <v>11</v>
      </c>
      <c r="V8" s="22">
        <f t="shared" si="9"/>
        <v>0.178993723023744</v>
      </c>
      <c r="W8" s="29">
        <f>VLOOKUP(B8,[2]计算结果表!$V$1:$Z$25,2,0)+VLOOKUP(B8,[2]计算结果表!$V$1:$Z$25,4,0)</f>
        <v>1601.082492</v>
      </c>
      <c r="X8" s="29">
        <f>VLOOKUP(B8,[2]计算结果表!$V$1:$Z$25,3,0)+VLOOKUP(B8,[2]计算结果表!$V$1:$Z$25,5,0)+VLOOKUP(B8,[2]计算结果表!$B$1:$R$28,5,0)</f>
        <v>7279.205409</v>
      </c>
      <c r="Y8" s="29">
        <f>VLOOKUP(B8,[6]Sheet1!$A$2:$I$24,8,0)</f>
        <v>5281.2143208284</v>
      </c>
      <c r="Z8" s="29">
        <f>VLOOKUP(B8,[6]Sheet1!$A$2:$I$24,9,0)</f>
        <v>11050.154914</v>
      </c>
      <c r="AA8" s="22">
        <f t="shared" si="10"/>
        <v>0.303165596913109</v>
      </c>
      <c r="AB8" s="23">
        <f>RANK(AA8,$AA$5:$AA$25,1)</f>
        <v>15</v>
      </c>
      <c r="AC8" s="22">
        <f t="shared" si="11"/>
        <v>0.658742385573039</v>
      </c>
      <c r="AD8" s="23">
        <f>RANK(AC8,$AC$5:$AC$25,1)</f>
        <v>10</v>
      </c>
      <c r="AE8" s="35">
        <f>VLOOKUP(B8,[3]计算结果表!$B$1:$P$29,14,0)</f>
        <v>4239.127552</v>
      </c>
      <c r="AF8" s="35">
        <f>VLOOKUP(B8,[2]计算结果表!$B$1:$R$30,16,0)</f>
        <v>4707.72443</v>
      </c>
      <c r="AG8" s="13">
        <f t="shared" si="12"/>
        <v>0.110540877162075</v>
      </c>
      <c r="AH8" s="13">
        <f t="shared" si="13"/>
        <v>0.0288633444879961</v>
      </c>
      <c r="AI8" s="13">
        <f t="shared" si="14"/>
        <v>0.0321956932506973</v>
      </c>
      <c r="AJ8" s="23">
        <f>RANK(AI8,$AI$5:$AI$25,1)</f>
        <v>13</v>
      </c>
      <c r="AK8" s="13">
        <f t="shared" si="15"/>
        <v>0.00333234876270116</v>
      </c>
      <c r="AL8" s="21">
        <v>1645.894722</v>
      </c>
      <c r="AM8" s="21">
        <f>VLOOKUP(B8,[1]Sheet1!$B$28:$F$52,4,0)</f>
        <v>2113.86365</v>
      </c>
      <c r="AN8" s="22">
        <f t="shared" si="16"/>
        <v>0.284324946027745</v>
      </c>
      <c r="AO8" s="23">
        <f>RANK(AN8,$AN$5:$AN$25,1)</f>
        <v>5</v>
      </c>
      <c r="AP8" s="22">
        <f t="shared" si="17"/>
        <v>0.186383395954103</v>
      </c>
      <c r="AQ8" s="22" t="e">
        <f>AM8/#REF!</f>
        <v>#REF!</v>
      </c>
      <c r="AR8" s="23" t="e">
        <f>RANK(AQ8,$AQ$5:$AQ$25,1)</f>
        <v>#REF!</v>
      </c>
      <c r="AS8" s="42">
        <v>1048.692641</v>
      </c>
      <c r="AT8" s="42">
        <f>VLOOKUP(B8,[1]Sheet1!$B$28:$F$52,2,0)</f>
        <v>1091.912998</v>
      </c>
      <c r="AU8" s="43">
        <f t="shared" si="18"/>
        <v>0.122959188955691</v>
      </c>
      <c r="AV8" s="44">
        <f>RANK(AU8,$AU$5:$AU$25,1)</f>
        <v>7</v>
      </c>
      <c r="AW8" s="49">
        <f t="shared" si="19"/>
        <v>0.041213559922368</v>
      </c>
      <c r="AX8" s="50">
        <f>RANK(AW8,$AW$5:$AW$25,1)</f>
        <v>4</v>
      </c>
      <c r="AY8" s="21">
        <f>VLOOKUP(B8,[3]计算结果表!$B$1:$P$29,15,0)</f>
        <v>8174.097786</v>
      </c>
      <c r="AZ8" s="21">
        <f>VLOOKUP(B8,[2]计算结果表!$B$1:$R$30,17,0)</f>
        <v>11893.448371</v>
      </c>
      <c r="BA8" s="22">
        <f t="shared" si="20"/>
        <v>0.45501664922216</v>
      </c>
      <c r="BB8" s="22">
        <f t="shared" si="21"/>
        <v>0.04999076693659</v>
      </c>
      <c r="BC8" s="22">
        <f t="shared" si="22"/>
        <v>0.0731663410667342</v>
      </c>
      <c r="BD8" s="23">
        <f>RANK(BC8,$BC$5:$BC$25,0)</f>
        <v>13</v>
      </c>
      <c r="BE8" s="22">
        <f t="shared" si="23"/>
        <v>0.0231755741301442</v>
      </c>
      <c r="BF8" s="29">
        <f>VLOOKUP(B8,[5]市州营业收现率202412完成!$B$1:$AH$28,6,0)</f>
        <v>161860.908678</v>
      </c>
      <c r="BG8" s="29">
        <f>VLOOKUP(B8,[4]市州营业收现率12月完成!$B$1:$AI$28,7,0)</f>
        <v>170099.093004828</v>
      </c>
      <c r="BH8" s="22">
        <f>VLOOKUP(B8,[5]市州营业收现率202412完成!$B$1:$AH$28,5,0)</f>
        <v>0.989901414652171</v>
      </c>
      <c r="BI8" s="22">
        <f>VLOOKUP(B8,[4]市州营业收现率12月完成!$B$1:$AI$28,5,0)</f>
        <v>1.04641882368444</v>
      </c>
      <c r="BJ8" s="54">
        <f>RANK(BI8,$BI$5:$BI$25,0)</f>
        <v>11</v>
      </c>
    </row>
    <row r="9" s="1" customFormat="1" ht="15" customHeight="1" spans="1:62">
      <c r="A9" s="10">
        <v>5</v>
      </c>
      <c r="B9" s="10" t="s">
        <v>64</v>
      </c>
      <c r="C9" s="11">
        <v>138671.019972</v>
      </c>
      <c r="D9" s="11">
        <v>20777.367592</v>
      </c>
      <c r="E9" s="12">
        <f>VLOOKUP(B9,[6]Sheet1!$A$2:$I$24,5,0)</f>
        <v>140988.952175012</v>
      </c>
      <c r="F9" s="12">
        <f>VLOOKUP(B9,[6]Sheet1!$A$2:$I$24,7,0)</f>
        <v>21848.2972250117</v>
      </c>
      <c r="G9" s="13">
        <f t="shared" si="0"/>
        <v>0.0167153324716298</v>
      </c>
      <c r="H9" s="13">
        <f t="shared" si="1"/>
        <v>0.0515430854399499</v>
      </c>
      <c r="I9" s="21">
        <f>VLOOKUP(B9,[3]计算结果表!$B$1:$P$29,2,0)</f>
        <v>7086.149818</v>
      </c>
      <c r="J9" s="21">
        <f>VLOOKUP(B9,[2]计算结果表!$B$1:$R$30,13,0)</f>
        <v>14171.424936</v>
      </c>
      <c r="K9" s="22">
        <f t="shared" si="2"/>
        <v>0.999876562022753</v>
      </c>
      <c r="L9" s="22">
        <f t="shared" si="3"/>
        <v>0.0511004377081153</v>
      </c>
      <c r="M9" s="22">
        <f t="shared" si="4"/>
        <v>0.100514435474411</v>
      </c>
      <c r="N9" s="23">
        <f>RANK(M9,$M$5:$M$25,1)</f>
        <v>14</v>
      </c>
      <c r="O9" s="22">
        <f t="shared" si="5"/>
        <v>0.0494139977662957</v>
      </c>
      <c r="P9" s="21">
        <f>VLOOKUP(B9,[3]计算结果表!$B$1:$P$29,13,0)</f>
        <v>4614.46373</v>
      </c>
      <c r="Q9" s="21">
        <f>VLOOKUP(B9,[2]计算结果表!$B$1:$R$30,15,0)</f>
        <v>9386.570356</v>
      </c>
      <c r="R9" s="22">
        <f t="shared" si="6"/>
        <v>1.0341627771338</v>
      </c>
      <c r="S9" s="22">
        <f t="shared" si="7"/>
        <v>0.222090874099793</v>
      </c>
      <c r="T9" s="22">
        <f t="shared" si="8"/>
        <v>0.429624801389756</v>
      </c>
      <c r="U9" s="23">
        <f>RANK(T9,$T$5:$T$25,1)</f>
        <v>7</v>
      </c>
      <c r="V9" s="22">
        <f t="shared" si="9"/>
        <v>0.207533927289963</v>
      </c>
      <c r="W9" s="29">
        <f>VLOOKUP(B9,[2]计算结果表!$V$1:$Z$25,2,0)+VLOOKUP(B9,[2]计算结果表!$V$1:$Z$25,4,0)</f>
        <v>2049.714252</v>
      </c>
      <c r="X9" s="29">
        <f>VLOOKUP(B9,[2]计算结果表!$V$1:$Z$25,3,0)+VLOOKUP(B9,[2]计算结果表!$V$1:$Z$25,5,0)+VLOOKUP(B9,[2]计算结果表!$B$1:$R$28,5,0)</f>
        <v>7336.856104</v>
      </c>
      <c r="Y9" s="29">
        <f>VLOOKUP(B9,[6]Sheet1!$A$2:$I$24,8,0)</f>
        <v>9430.22023901175</v>
      </c>
      <c r="Z9" s="29">
        <f>VLOOKUP(B9,[6]Sheet1!$A$2:$I$24,9,0)</f>
        <v>12418.076986</v>
      </c>
      <c r="AA9" s="22">
        <f t="shared" si="10"/>
        <v>0.217355925953942</v>
      </c>
      <c r="AB9" s="23">
        <f>RANK(AA9,$AA$5:$AA$25,1)</f>
        <v>10</v>
      </c>
      <c r="AC9" s="22">
        <f t="shared" si="11"/>
        <v>0.590820632878302</v>
      </c>
      <c r="AD9" s="23">
        <f>RANK(AC9,$AC$5:$AC$25,1)</f>
        <v>6</v>
      </c>
      <c r="AE9" s="35">
        <f>VLOOKUP(B9,[3]计算结果表!$B$1:$P$29,14,0)</f>
        <v>2813.986088</v>
      </c>
      <c r="AF9" s="35">
        <f>VLOOKUP(B9,[2]计算结果表!$B$1:$R$30,16,0)</f>
        <v>4784.85458</v>
      </c>
      <c r="AG9" s="13">
        <f t="shared" si="12"/>
        <v>0.700383168347775</v>
      </c>
      <c r="AH9" s="13">
        <f t="shared" si="13"/>
        <v>0.0238688515555514</v>
      </c>
      <c r="AI9" s="13">
        <f t="shared" si="14"/>
        <v>0.0401613922804777</v>
      </c>
      <c r="AJ9" s="23">
        <f>RANK(AI9,$AI$5:$AI$25,1)</f>
        <v>16</v>
      </c>
      <c r="AK9" s="13">
        <f t="shared" si="15"/>
        <v>0.0162925407249263</v>
      </c>
      <c r="AL9" s="21">
        <v>826.754678</v>
      </c>
      <c r="AM9" s="21">
        <f>VLOOKUP(B9,[1]Sheet1!$B$28:$F$52,4,0)</f>
        <v>2225.915594</v>
      </c>
      <c r="AN9" s="22">
        <f t="shared" si="16"/>
        <v>1.69235318920082</v>
      </c>
      <c r="AO9" s="23">
        <f>RANK(AN9,$AN$5:$AN$25,1)</f>
        <v>16</v>
      </c>
      <c r="AP9" s="22">
        <f t="shared" si="17"/>
        <v>0.116671916235796</v>
      </c>
      <c r="AQ9" s="22" t="e">
        <f>AM9/#REF!</f>
        <v>#REF!</v>
      </c>
      <c r="AR9" s="23" t="e">
        <f>RANK(AQ9,$AQ$5:$AQ$25,1)</f>
        <v>#REF!</v>
      </c>
      <c r="AS9" s="42">
        <v>181.484455</v>
      </c>
      <c r="AT9" s="42">
        <f>VLOOKUP(B9,[1]Sheet1!$B$28:$F$52,2,0)</f>
        <v>1809.440535</v>
      </c>
      <c r="AU9" s="43">
        <f t="shared" si="18"/>
        <v>0.192769080332241</v>
      </c>
      <c r="AV9" s="44">
        <f>RANK(AU9,$AU$5:$AU$25,1)</f>
        <v>16</v>
      </c>
      <c r="AW9" s="49">
        <f t="shared" si="19"/>
        <v>8.97022326237253</v>
      </c>
      <c r="AX9" s="50">
        <f>RANK(AW9,$AW$5:$AW$25,1)</f>
        <v>21</v>
      </c>
      <c r="AY9" s="21">
        <f>VLOOKUP(B9,[3]计算结果表!$B$1:$P$29,15,0)</f>
        <v>14870.445035</v>
      </c>
      <c r="AZ9" s="21">
        <f>VLOOKUP(B9,[2]计算结果表!$B$1:$R$30,17,0)</f>
        <v>13482.476572</v>
      </c>
      <c r="BA9" s="22">
        <f t="shared" si="20"/>
        <v>-0.0933373856487275</v>
      </c>
      <c r="BB9" s="22">
        <f t="shared" si="21"/>
        <v>0.107235419758235</v>
      </c>
      <c r="BC9" s="22">
        <f t="shared" si="22"/>
        <v>0.0956278939874946</v>
      </c>
      <c r="BD9" s="23">
        <f>RANK(BC9,$BC$5:$BC$25,0)</f>
        <v>5</v>
      </c>
      <c r="BE9" s="22">
        <f t="shared" si="23"/>
        <v>-0.0116075257707404</v>
      </c>
      <c r="BF9" s="29">
        <f>VLOOKUP(B9,[5]市州营业收现率202412完成!$B$1:$AH$28,6,0)</f>
        <v>135962.548653</v>
      </c>
      <c r="BG9" s="29">
        <f>VLOOKUP(B9,[4]市州营业收现率12月完成!$B$1:$AI$28,7,0)</f>
        <v>143456.887269012</v>
      </c>
      <c r="BH9" s="22">
        <f>VLOOKUP(B9,[5]市州营业收现率202412完成!$B$1:$AH$28,5,0)</f>
        <v>0.980468368087674</v>
      </c>
      <c r="BI9" s="22">
        <f>VLOOKUP(B9,[4]市州营业收现率12月完成!$B$1:$AI$28,5,0)</f>
        <v>1.01750445730625</v>
      </c>
      <c r="BJ9" s="54">
        <f>RANK(BI9,$BI$5:$BI$25,0)</f>
        <v>16</v>
      </c>
    </row>
    <row r="10" s="1" customFormat="1" ht="15" customHeight="1" spans="1:62">
      <c r="A10" s="10">
        <v>6</v>
      </c>
      <c r="B10" s="10" t="s">
        <v>65</v>
      </c>
      <c r="C10" s="11">
        <v>138807.86793383</v>
      </c>
      <c r="D10" s="11">
        <v>15780.5668588302</v>
      </c>
      <c r="E10" s="12">
        <f>VLOOKUP(B10,[6]Sheet1!$A$2:$I$24,5,0)</f>
        <v>140557.378816239</v>
      </c>
      <c r="F10" s="12">
        <f>VLOOKUP(B10,[6]Sheet1!$A$2:$I$24,7,0)</f>
        <v>15542.302543239</v>
      </c>
      <c r="G10" s="13">
        <f t="shared" si="0"/>
        <v>0.0126038308090937</v>
      </c>
      <c r="H10" s="13">
        <f t="shared" si="1"/>
        <v>-0.0150985904196386</v>
      </c>
      <c r="I10" s="21">
        <f>VLOOKUP(B10,[3]计算结果表!$B$1:$P$29,2,0)</f>
        <v>5731.039232</v>
      </c>
      <c r="J10" s="21">
        <f>VLOOKUP(B10,[2]计算结果表!$B$1:$R$30,13,0)</f>
        <v>12902.441263</v>
      </c>
      <c r="K10" s="22">
        <f t="shared" si="2"/>
        <v>1.25132663391267</v>
      </c>
      <c r="L10" s="22">
        <f t="shared" si="3"/>
        <v>0.0412875676091502</v>
      </c>
      <c r="M10" s="22">
        <f t="shared" si="4"/>
        <v>0.0917948340504294</v>
      </c>
      <c r="N10" s="23">
        <f>RANK(M10,$M$5:$M$25,1)</f>
        <v>10</v>
      </c>
      <c r="O10" s="22">
        <f t="shared" si="5"/>
        <v>0.0505072664412792</v>
      </c>
      <c r="P10" s="21">
        <f>VLOOKUP(B10,[3]计算结果表!$B$1:$P$29,13,0)</f>
        <v>3266.071733</v>
      </c>
      <c r="Q10" s="21">
        <f>VLOOKUP(B10,[2]计算结果表!$B$1:$R$30,15,0)</f>
        <v>8639.51125</v>
      </c>
      <c r="R10" s="22">
        <f t="shared" si="6"/>
        <v>1.6452300978902</v>
      </c>
      <c r="S10" s="22">
        <f t="shared" si="7"/>
        <v>0.206967960163765</v>
      </c>
      <c r="T10" s="22">
        <f t="shared" si="8"/>
        <v>0.555870742186668</v>
      </c>
      <c r="U10" s="23">
        <f>RANK(T10,$T$5:$T$25,1)</f>
        <v>12</v>
      </c>
      <c r="V10" s="22">
        <f t="shared" si="9"/>
        <v>0.348902782022903</v>
      </c>
      <c r="W10" s="29">
        <f>VLOOKUP(B10,[2]计算结果表!$V$1:$Z$25,2,0)+VLOOKUP(B10,[2]计算结果表!$V$1:$Z$25,4,0)</f>
        <v>1593.391536</v>
      </c>
      <c r="X10" s="29">
        <f>VLOOKUP(B10,[2]计算结果表!$V$1:$Z$25,3,0)+VLOOKUP(B10,[2]计算结果表!$V$1:$Z$25,5,0)+VLOOKUP(B10,[2]计算结果表!$B$1:$R$28,5,0)</f>
        <v>7046.119714</v>
      </c>
      <c r="Y10" s="29">
        <f>VLOOKUP(B10,[6]Sheet1!$A$2:$I$24,8,0)</f>
        <v>5046.362241239</v>
      </c>
      <c r="Z10" s="29">
        <f>VLOOKUP(B10,[6]Sheet1!$A$2:$I$24,9,0)</f>
        <v>10495.940302</v>
      </c>
      <c r="AA10" s="22">
        <f t="shared" si="10"/>
        <v>0.315750526781206</v>
      </c>
      <c r="AB10" s="23">
        <f>RANK(AA10,$AA$5:$AA$25,1)</f>
        <v>18</v>
      </c>
      <c r="AC10" s="22">
        <f t="shared" si="11"/>
        <v>0.671318577589219</v>
      </c>
      <c r="AD10" s="23">
        <f>RANK(AC10,$AC$5:$AC$25,1)</f>
        <v>11</v>
      </c>
      <c r="AE10" s="35">
        <f>VLOOKUP(B10,[3]计算结果表!$B$1:$P$29,14,0)</f>
        <v>2609.99433</v>
      </c>
      <c r="AF10" s="35">
        <f>VLOOKUP(B10,[2]计算结果表!$B$1:$R$30,16,0)</f>
        <v>4262.930013</v>
      </c>
      <c r="AG10" s="13">
        <f t="shared" si="12"/>
        <v>0.633310066616122</v>
      </c>
      <c r="AH10" s="13">
        <f t="shared" si="13"/>
        <v>0.0212147572708995</v>
      </c>
      <c r="AI10" s="13">
        <f t="shared" si="14"/>
        <v>0.0340993273778507</v>
      </c>
      <c r="AJ10" s="23">
        <f>RANK(AI10,$AI$5:$AI$25,1)</f>
        <v>14</v>
      </c>
      <c r="AK10" s="13">
        <f t="shared" si="15"/>
        <v>0.0128845701069512</v>
      </c>
      <c r="AL10" s="21">
        <v>476.34727</v>
      </c>
      <c r="AM10" s="21">
        <f>VLOOKUP(B10,[1]Sheet1!$B$28:$F$52,4,0)</f>
        <v>1332.585134</v>
      </c>
      <c r="AN10" s="22">
        <f t="shared" si="16"/>
        <v>1.79750765444714</v>
      </c>
      <c r="AO10" s="23">
        <f>RANK(AN10,$AN$5:$AN$25,1)</f>
        <v>17</v>
      </c>
      <c r="AP10" s="22">
        <f t="shared" si="17"/>
        <v>0.0831170841302662</v>
      </c>
      <c r="AQ10" s="22" t="e">
        <f>AM10/#REF!</f>
        <v>#REF!</v>
      </c>
      <c r="AR10" s="23" t="e">
        <f>RANK(AQ10,$AQ$5:$AQ$25,1)</f>
        <v>#REF!</v>
      </c>
      <c r="AS10" s="42">
        <v>202.429652</v>
      </c>
      <c r="AT10" s="42">
        <f>VLOOKUP(B10,[1]Sheet1!$B$28:$F$52,2,0)</f>
        <v>902.161108</v>
      </c>
      <c r="AU10" s="43">
        <f t="shared" si="18"/>
        <v>0.104422701920783</v>
      </c>
      <c r="AV10" s="44">
        <f>RANK(AU10,$AU$5:$AU$25,1)</f>
        <v>2</v>
      </c>
      <c r="AW10" s="49">
        <f t="shared" si="19"/>
        <v>3.45666481706939</v>
      </c>
      <c r="AX10" s="50">
        <f>RANK(AW10,$AW$5:$AW$25,1)</f>
        <v>18</v>
      </c>
      <c r="AY10" s="21">
        <f>VLOOKUP(B10,[3]计算结果表!$B$1:$P$29,15,0)</f>
        <v>9218.330716</v>
      </c>
      <c r="AZ10" s="21">
        <f>VLOOKUP(B10,[2]计算结果表!$B$1:$R$30,17,0)</f>
        <v>7908.825909</v>
      </c>
      <c r="BA10" s="22">
        <f t="shared" si="20"/>
        <v>-0.142054439935327</v>
      </c>
      <c r="BB10" s="22">
        <f t="shared" si="21"/>
        <v>0.066410721908029</v>
      </c>
      <c r="BC10" s="22">
        <f t="shared" si="22"/>
        <v>0.0562675967324333</v>
      </c>
      <c r="BD10" s="23">
        <f>RANK(BC10,$BC$5:$BC$25,0)</f>
        <v>18</v>
      </c>
      <c r="BE10" s="22">
        <f t="shared" si="23"/>
        <v>-0.0101431251755957</v>
      </c>
      <c r="BF10" s="29">
        <f>VLOOKUP(B10,[5]市州营业收现率202412完成!$B$1:$AH$28,6,0)</f>
        <v>152540.923117</v>
      </c>
      <c r="BG10" s="29">
        <f>VLOOKUP(B10,[4]市州营业收现率12月完成!$B$1:$AI$28,7,0)</f>
        <v>140566.969942239</v>
      </c>
      <c r="BH10" s="22">
        <f>VLOOKUP(B10,[5]市州营业收现率202412完成!$B$1:$AH$28,5,0)</f>
        <v>1.09893571155287</v>
      </c>
      <c r="BI10" s="22">
        <f>VLOOKUP(B10,[4]市州营业收现率12月完成!$B$1:$AI$28,5,0)</f>
        <v>1.00006823637493</v>
      </c>
      <c r="BJ10" s="54">
        <f>RANK(BI10,$BI$5:$BI$25,0)</f>
        <v>20</v>
      </c>
    </row>
    <row r="11" s="1" customFormat="1" ht="15" customHeight="1" spans="1:62">
      <c r="A11" s="10">
        <v>7</v>
      </c>
      <c r="B11" s="10" t="s">
        <v>66</v>
      </c>
      <c r="C11" s="11">
        <v>121838.879318</v>
      </c>
      <c r="D11" s="11">
        <v>15065.655602</v>
      </c>
      <c r="E11" s="12">
        <f>VLOOKUP(B11,[6]Sheet1!$A$2:$I$24,5,0)</f>
        <v>120354.808731422</v>
      </c>
      <c r="F11" s="12">
        <f>VLOOKUP(B11,[6]Sheet1!$A$2:$I$24,7,0)</f>
        <v>12304.329956422</v>
      </c>
      <c r="G11" s="13">
        <f t="shared" si="0"/>
        <v>-0.0121805994513834</v>
      </c>
      <c r="H11" s="13">
        <f t="shared" si="1"/>
        <v>-0.18328612564404</v>
      </c>
      <c r="I11" s="21">
        <f>VLOOKUP(B11,[3]计算结果表!$B$1:$P$29,2,0)</f>
        <v>7000.00143</v>
      </c>
      <c r="J11" s="21">
        <f>VLOOKUP(B11,[2]计算结果表!$B$1:$R$30,13,0)</f>
        <v>12750.041569</v>
      </c>
      <c r="K11" s="22">
        <f t="shared" si="2"/>
        <v>0.821434137764169</v>
      </c>
      <c r="L11" s="22">
        <f t="shared" si="3"/>
        <v>0.0574529367734085</v>
      </c>
      <c r="M11" s="22">
        <f t="shared" si="4"/>
        <v>0.105937117954733</v>
      </c>
      <c r="N11" s="23">
        <f>RANK(M11,$M$5:$M$25,1)</f>
        <v>16</v>
      </c>
      <c r="O11" s="22">
        <f t="shared" si="5"/>
        <v>0.0484841811813245</v>
      </c>
      <c r="P11" s="21">
        <f>VLOOKUP(B11,[3]计算结果表!$B$1:$P$29,13,0)</f>
        <v>4486.777358</v>
      </c>
      <c r="Q11" s="21">
        <f>VLOOKUP(B11,[2]计算结果表!$B$1:$R$30,15,0)</f>
        <v>7580.214077</v>
      </c>
      <c r="R11" s="22">
        <f t="shared" si="6"/>
        <v>0.689456256055217</v>
      </c>
      <c r="S11" s="22">
        <f t="shared" si="7"/>
        <v>0.297814942577366</v>
      </c>
      <c r="T11" s="22">
        <f t="shared" si="8"/>
        <v>0.616060696018937</v>
      </c>
      <c r="U11" s="23">
        <f>RANK(T11,$T$5:$T$25,1)</f>
        <v>16</v>
      </c>
      <c r="V11" s="22">
        <f t="shared" si="9"/>
        <v>0.318245753441571</v>
      </c>
      <c r="W11" s="29">
        <f>VLOOKUP(B11,[2]计算结果表!$V$1:$Z$25,2,0)+VLOOKUP(B11,[2]计算结果表!$V$1:$Z$25,4,0)</f>
        <v>1810.828345</v>
      </c>
      <c r="X11" s="29">
        <f>VLOOKUP(B11,[2]计算结果表!$V$1:$Z$25,3,0)+VLOOKUP(B11,[2]计算结果表!$V$1:$Z$25,5,0)+VLOOKUP(B11,[2]计算结果表!$B$1:$R$28,5,0)</f>
        <v>5769.385732</v>
      </c>
      <c r="Y11" s="29">
        <f>VLOOKUP(B11,[6]Sheet1!$A$2:$I$24,8,0)</f>
        <v>6111.61089842201</v>
      </c>
      <c r="Z11" s="29">
        <f>VLOOKUP(B11,[6]Sheet1!$A$2:$I$24,9,0)</f>
        <v>6192.719058</v>
      </c>
      <c r="AA11" s="22">
        <f t="shared" si="10"/>
        <v>0.296293133692059</v>
      </c>
      <c r="AB11" s="23">
        <f>RANK(AA11,$AA$5:$AA$25,1)</f>
        <v>14</v>
      </c>
      <c r="AC11" s="22">
        <f t="shared" si="11"/>
        <v>0.93164015321297</v>
      </c>
      <c r="AD11" s="23">
        <f>RANK(AC11,$AC$5:$AC$25,1)</f>
        <v>16</v>
      </c>
      <c r="AE11" s="35">
        <f>VLOOKUP(B11,[3]计算结果表!$B$1:$P$29,14,0)</f>
        <v>4759.974672</v>
      </c>
      <c r="AF11" s="35">
        <f>VLOOKUP(B11,[2]计算结果表!$B$1:$R$30,16,0)</f>
        <v>5169.827492</v>
      </c>
      <c r="AG11" s="13">
        <f t="shared" si="12"/>
        <v>0.0861039917735091</v>
      </c>
      <c r="AH11" s="13">
        <f t="shared" si="13"/>
        <v>0.0445802281352934</v>
      </c>
      <c r="AI11" s="13">
        <f t="shared" si="14"/>
        <v>0.0478464098503945</v>
      </c>
      <c r="AJ11" s="23">
        <f>RANK(AI11,$AI$5:$AI$25,1)</f>
        <v>18</v>
      </c>
      <c r="AK11" s="13">
        <f t="shared" si="15"/>
        <v>0.00326618171510109</v>
      </c>
      <c r="AL11" s="21">
        <v>2069.331527</v>
      </c>
      <c r="AM11" s="21">
        <f>VLOOKUP(B11,[1]Sheet1!$B$28:$F$52,4,0)</f>
        <v>4332.746957</v>
      </c>
      <c r="AN11" s="22">
        <f t="shared" si="16"/>
        <v>1.0937906277789</v>
      </c>
      <c r="AO11" s="23">
        <f>RANK(AN11,$AN$5:$AN$25,1)</f>
        <v>10</v>
      </c>
      <c r="AP11" s="22">
        <f t="shared" si="17"/>
        <v>0.295618729180745</v>
      </c>
      <c r="AQ11" s="22" t="e">
        <f>AM11/#REF!</f>
        <v>#REF!</v>
      </c>
      <c r="AR11" s="23" t="e">
        <f>RANK(AQ11,$AQ$5:$AQ$25,1)</f>
        <v>#REF!</v>
      </c>
      <c r="AS11" s="42">
        <v>1093.159681</v>
      </c>
      <c r="AT11" s="42">
        <f>VLOOKUP(B11,[1]Sheet1!$B$28:$F$52,2,0)</f>
        <v>3214.860309</v>
      </c>
      <c r="AU11" s="43">
        <f t="shared" si="18"/>
        <v>0.424112073398372</v>
      </c>
      <c r="AV11" s="44">
        <f>RANK(AU11,$AU$5:$AU$25,1)</f>
        <v>21</v>
      </c>
      <c r="AW11" s="49">
        <f t="shared" si="19"/>
        <v>1.94088811074619</v>
      </c>
      <c r="AX11" s="50">
        <f>RANK(AW11,$AW$5:$AW$25,1)</f>
        <v>12</v>
      </c>
      <c r="AY11" s="21">
        <f>VLOOKUP(B11,[3]计算结果表!$B$1:$P$29,15,0)</f>
        <v>6705.649928</v>
      </c>
      <c r="AZ11" s="21">
        <f>VLOOKUP(B11,[2]计算结果表!$B$1:$R$30,17,0)</f>
        <v>8197.225789</v>
      </c>
      <c r="BA11" s="22">
        <f t="shared" si="20"/>
        <v>0.222435688861687</v>
      </c>
      <c r="BB11" s="22">
        <f t="shared" si="21"/>
        <v>0.0550370289478634</v>
      </c>
      <c r="BC11" s="22">
        <f t="shared" si="22"/>
        <v>0.0681088348309583</v>
      </c>
      <c r="BD11" s="23">
        <f>RANK(BC11,$BC$5:$BC$25,0)</f>
        <v>14</v>
      </c>
      <c r="BE11" s="22">
        <f t="shared" si="23"/>
        <v>0.0130718058830949</v>
      </c>
      <c r="BF11" s="29">
        <f>VLOOKUP(B11,[5]市州营业收现率202412完成!$B$1:$AH$28,6,0)</f>
        <v>118296.768687</v>
      </c>
      <c r="BG11" s="29">
        <f>VLOOKUP(B11,[4]市州营业收现率12月完成!$B$1:$AI$28,7,0)</f>
        <v>125757.341779422</v>
      </c>
      <c r="BH11" s="22">
        <f>VLOOKUP(B11,[5]市州营业收现率202412完成!$B$1:$AH$28,5,0)</f>
        <v>0.970927911920832</v>
      </c>
      <c r="BI11" s="22">
        <f>VLOOKUP(B11,[4]市州营业收现率12月完成!$B$1:$AI$28,5,0)</f>
        <v>1.04488838547412</v>
      </c>
      <c r="BJ11" s="54">
        <f>RANK(BI11,$BI$5:$BI$25,0)</f>
        <v>12</v>
      </c>
    </row>
    <row r="12" s="1" customFormat="1" ht="15" customHeight="1" spans="1:62">
      <c r="A12" s="10">
        <v>8</v>
      </c>
      <c r="B12" s="10" t="s">
        <v>67</v>
      </c>
      <c r="C12" s="11">
        <v>118805.110287</v>
      </c>
      <c r="D12" s="11">
        <v>16584.621945</v>
      </c>
      <c r="E12" s="12">
        <f>VLOOKUP(B12,[6]Sheet1!$A$2:$I$24,5,0)</f>
        <v>120556.022918018</v>
      </c>
      <c r="F12" s="12">
        <f>VLOOKUP(B12,[6]Sheet1!$A$2:$I$24,7,0)</f>
        <v>16066.6248020181</v>
      </c>
      <c r="G12" s="13">
        <f t="shared" si="0"/>
        <v>0.014737687855247</v>
      </c>
      <c r="H12" s="13">
        <f t="shared" si="1"/>
        <v>-0.0312335816095023</v>
      </c>
      <c r="I12" s="21">
        <f>VLOOKUP(B12,[3]计算结果表!$B$1:$P$29,2,0)</f>
        <v>8866.812906</v>
      </c>
      <c r="J12" s="21">
        <f>VLOOKUP(B12,[2]计算结果表!$B$1:$R$30,13,0)</f>
        <v>13095.459016</v>
      </c>
      <c r="K12" s="22">
        <f t="shared" si="2"/>
        <v>0.476907109107779</v>
      </c>
      <c r="L12" s="22">
        <f t="shared" si="3"/>
        <v>0.0746332618570047</v>
      </c>
      <c r="M12" s="22">
        <f t="shared" si="4"/>
        <v>0.108625506208888</v>
      </c>
      <c r="N12" s="23">
        <f>RANK(M12,$M$5:$M$25,1)</f>
        <v>18</v>
      </c>
      <c r="O12" s="22">
        <f t="shared" si="5"/>
        <v>0.0339922443518833</v>
      </c>
      <c r="P12" s="21">
        <f>VLOOKUP(B12,[3]计算结果表!$B$1:$P$29,13,0)</f>
        <v>7638.37071</v>
      </c>
      <c r="Q12" s="21">
        <f>VLOOKUP(B12,[2]计算结果表!$B$1:$R$30,15,0)</f>
        <v>10777.342974</v>
      </c>
      <c r="R12" s="22">
        <f t="shared" si="6"/>
        <v>0.4109478818422</v>
      </c>
      <c r="S12" s="22">
        <f t="shared" si="7"/>
        <v>0.460569480289109</v>
      </c>
      <c r="T12" s="22">
        <f t="shared" si="8"/>
        <v>0.670790729652582</v>
      </c>
      <c r="U12" s="23">
        <f>RANK(T12,$T$5:$T$25,1)</f>
        <v>17</v>
      </c>
      <c r="V12" s="22">
        <f t="shared" si="9"/>
        <v>0.210221249363473</v>
      </c>
      <c r="W12" s="29">
        <f>VLOOKUP(B12,[2]计算结果表!$V$1:$Z$25,2,0)+VLOOKUP(B12,[2]计算结果表!$V$1:$Z$25,4,0)</f>
        <v>1358.298846</v>
      </c>
      <c r="X12" s="29">
        <f>VLOOKUP(B12,[2]计算结果表!$V$1:$Z$25,3,0)+VLOOKUP(B12,[2]计算结果表!$V$1:$Z$25,5,0)+VLOOKUP(B12,[2]计算结果表!$B$1:$R$28,5,0)</f>
        <v>9419.044128</v>
      </c>
      <c r="Y12" s="29">
        <f>VLOOKUP(B12,[6]Sheet1!$A$2:$I$24,8,0)</f>
        <v>5977.04166101815</v>
      </c>
      <c r="Z12" s="29">
        <f>VLOOKUP(B12,[6]Sheet1!$A$2:$I$24,9,0)</f>
        <v>10089.583141</v>
      </c>
      <c r="AA12" s="22">
        <f t="shared" si="10"/>
        <v>0.227252698414122</v>
      </c>
      <c r="AB12" s="23">
        <f>RANK(AA12,$AA$5:$AA$25,1)</f>
        <v>12</v>
      </c>
      <c r="AC12" s="22">
        <f t="shared" si="11"/>
        <v>0.933541455218779</v>
      </c>
      <c r="AD12" s="23">
        <f>RANK(AC12,$AC$5:$AC$25,1)</f>
        <v>17</v>
      </c>
      <c r="AE12" s="35">
        <f>VLOOKUP(B12,[3]计算结果表!$B$1:$P$29,14,0)</f>
        <v>2332.442196</v>
      </c>
      <c r="AF12" s="35">
        <f>VLOOKUP(B12,[2]计算结果表!$B$1:$R$30,16,0)</f>
        <v>2318.116042</v>
      </c>
      <c r="AG12" s="13">
        <f t="shared" si="12"/>
        <v>-0.00614212606193132</v>
      </c>
      <c r="AH12" s="13">
        <f t="shared" si="13"/>
        <v>0.0228177563405521</v>
      </c>
      <c r="AI12" s="13">
        <f t="shared" si="14"/>
        <v>0.0221851793942436</v>
      </c>
      <c r="AJ12" s="23">
        <f>RANK(AI12,$AI$5:$AI$25,1)</f>
        <v>6</v>
      </c>
      <c r="AK12" s="13">
        <f t="shared" si="15"/>
        <v>-0.000632576946308472</v>
      </c>
      <c r="AL12" s="21">
        <v>1030.657894</v>
      </c>
      <c r="AM12" s="21">
        <f>VLOOKUP(B12,[1]Sheet1!$B$28:$F$52,4,0)</f>
        <v>3297.288215</v>
      </c>
      <c r="AN12" s="22">
        <f t="shared" si="16"/>
        <v>2.1992072580002</v>
      </c>
      <c r="AO12" s="23">
        <f>RANK(AN12,$AN$5:$AN$25,1)</f>
        <v>19</v>
      </c>
      <c r="AP12" s="22">
        <f t="shared" si="17"/>
        <v>0.116237694978607</v>
      </c>
      <c r="AQ12" s="22" t="e">
        <f>AM12/#REF!</f>
        <v>#REF!</v>
      </c>
      <c r="AR12" s="23" t="e">
        <f>RANK(AQ12,$AQ$5:$AQ$25,1)</f>
        <v>#REF!</v>
      </c>
      <c r="AS12" s="42">
        <v>696.259072</v>
      </c>
      <c r="AT12" s="42">
        <f>VLOOKUP(B12,[1]Sheet1!$B$28:$F$52,2,0)</f>
        <v>2845.818278</v>
      </c>
      <c r="AU12" s="43">
        <f t="shared" si="18"/>
        <v>0.264055647562247</v>
      </c>
      <c r="AV12" s="44">
        <f>RANK(AU12,$AU$5:$AU$25,1)</f>
        <v>18</v>
      </c>
      <c r="AW12" s="49">
        <f t="shared" si="19"/>
        <v>3.08729795049622</v>
      </c>
      <c r="AX12" s="50">
        <f>RANK(AW12,$AW$5:$AW$25,1)</f>
        <v>16</v>
      </c>
      <c r="AY12" s="21">
        <f>VLOOKUP(B12,[3]计算结果表!$B$1:$P$29,15,0)</f>
        <v>8442.549385</v>
      </c>
      <c r="AZ12" s="21">
        <f>VLOOKUP(B12,[2]计算结果表!$B$1:$R$30,17,0)</f>
        <v>7505.039112</v>
      </c>
      <c r="BA12" s="22">
        <f t="shared" si="20"/>
        <v>-0.111045873734027</v>
      </c>
      <c r="BB12" s="22">
        <f t="shared" si="21"/>
        <v>0.0710621737112583</v>
      </c>
      <c r="BC12" s="22">
        <f t="shared" si="22"/>
        <v>0.0622535393117909</v>
      </c>
      <c r="BD12" s="23">
        <f>RANK(BC12,$BC$5:$BC$25,0)</f>
        <v>17</v>
      </c>
      <c r="BE12" s="22">
        <f t="shared" si="23"/>
        <v>-0.00880863439946738</v>
      </c>
      <c r="BF12" s="29">
        <f>VLOOKUP(B12,[5]市州营业收现率202412完成!$B$1:$AH$28,6,0)</f>
        <v>116901.18756</v>
      </c>
      <c r="BG12" s="29">
        <f>VLOOKUP(B12,[4]市州营业收现率12月完成!$B$1:$AI$28,7,0)</f>
        <v>124954.248354018</v>
      </c>
      <c r="BH12" s="22">
        <f>VLOOKUP(B12,[5]市州营业收现率202412完成!$B$1:$AH$28,5,0)</f>
        <v>0.983974403774378</v>
      </c>
      <c r="BI12" s="22">
        <f>VLOOKUP(B12,[4]市州营业收现率12月完成!$B$1:$AI$28,5,0)</f>
        <v>1.03648283453238</v>
      </c>
      <c r="BJ12" s="54">
        <f>RANK(BI12,$BI$5:$BI$25,0)</f>
        <v>14</v>
      </c>
    </row>
    <row r="13" s="1" customFormat="1" ht="15" customHeight="1" spans="1:62">
      <c r="A13" s="10">
        <v>9</v>
      </c>
      <c r="B13" s="10" t="s">
        <v>68</v>
      </c>
      <c r="C13" s="11">
        <v>119439.991179</v>
      </c>
      <c r="D13" s="11">
        <v>17531.070727</v>
      </c>
      <c r="E13" s="12">
        <f>VLOOKUP(B13,[6]Sheet1!$A$2:$I$24,5,0)</f>
        <v>120948.418683953</v>
      </c>
      <c r="F13" s="12">
        <f>VLOOKUP(B13,[6]Sheet1!$A$2:$I$24,7,0)</f>
        <v>19113.5978109531</v>
      </c>
      <c r="G13" s="13">
        <f t="shared" si="0"/>
        <v>0.0126291662454359</v>
      </c>
      <c r="H13" s="13">
        <f t="shared" si="1"/>
        <v>0.0902698476662818</v>
      </c>
      <c r="I13" s="21">
        <f>VLOOKUP(B13,[3]计算结果表!$B$1:$P$29,2,0)</f>
        <v>3290.821842</v>
      </c>
      <c r="J13" s="21">
        <f>VLOOKUP(B13,[2]计算结果表!$B$1:$R$30,13,0)</f>
        <v>11028.140933</v>
      </c>
      <c r="K13" s="22">
        <f t="shared" si="2"/>
        <v>2.35118139555608</v>
      </c>
      <c r="L13" s="22">
        <f t="shared" si="3"/>
        <v>0.027552093813103</v>
      </c>
      <c r="M13" s="22">
        <f t="shared" si="4"/>
        <v>0.091180530121831</v>
      </c>
      <c r="N13" s="23">
        <f>RANK(M13,$M$5:$M$25,1)</f>
        <v>9</v>
      </c>
      <c r="O13" s="22">
        <f t="shared" si="5"/>
        <v>0.063628436308728</v>
      </c>
      <c r="P13" s="21">
        <f>VLOOKUP(B13,[3]计算结果表!$B$1:$P$29,13,0)</f>
        <v>1953.010843</v>
      </c>
      <c r="Q13" s="21">
        <f>VLOOKUP(B13,[2]计算结果表!$B$1:$R$30,15,0)</f>
        <v>8138.890381</v>
      </c>
      <c r="R13" s="22">
        <f t="shared" si="6"/>
        <v>3.16735545026362</v>
      </c>
      <c r="S13" s="22">
        <f t="shared" si="7"/>
        <v>0.111402827209642</v>
      </c>
      <c r="T13" s="22">
        <f t="shared" si="8"/>
        <v>0.42581676466667</v>
      </c>
      <c r="U13" s="23">
        <f>RANK(T13,$T$5:$T$25,1)</f>
        <v>6</v>
      </c>
      <c r="V13" s="22">
        <f t="shared" si="9"/>
        <v>0.314413937457028</v>
      </c>
      <c r="W13" s="29">
        <f>VLOOKUP(B13,[2]计算结果表!$V$1:$Z$25,2,0)+VLOOKUP(B13,[2]计算结果表!$V$1:$Z$25,4,0)</f>
        <v>607.297147</v>
      </c>
      <c r="X13" s="29">
        <f>VLOOKUP(B13,[2]计算结果表!$V$1:$Z$25,3,0)+VLOOKUP(B13,[2]计算结果表!$V$1:$Z$25,5,0)+VLOOKUP(B13,[2]计算结果表!$B$1:$R$28,5,0)</f>
        <v>7531.593234</v>
      </c>
      <c r="Y13" s="29">
        <f>VLOOKUP(B13,[6]Sheet1!$A$2:$I$24,8,0)</f>
        <v>5213.59669895311</v>
      </c>
      <c r="Z13" s="29">
        <f>VLOOKUP(B13,[6]Sheet1!$A$2:$I$24,9,0)</f>
        <v>13900.001112</v>
      </c>
      <c r="AA13" s="22">
        <f t="shared" si="10"/>
        <v>0.11648333809977</v>
      </c>
      <c r="AB13" s="23">
        <f>RANK(AA13,$AA$5:$AA$25,1)</f>
        <v>3</v>
      </c>
      <c r="AC13" s="22">
        <f t="shared" si="11"/>
        <v>0.541841196508819</v>
      </c>
      <c r="AD13" s="23">
        <f>RANK(AC13,$AC$5:$AC$25,1)</f>
        <v>5</v>
      </c>
      <c r="AE13" s="35">
        <f>VLOOKUP(B13,[3]计算结果表!$B$1:$P$29,14,0)</f>
        <v>2325.33319</v>
      </c>
      <c r="AF13" s="35">
        <f>VLOOKUP(B13,[2]计算结果表!$B$1:$R$30,16,0)</f>
        <v>2889.250552</v>
      </c>
      <c r="AG13" s="13">
        <f t="shared" si="12"/>
        <v>0.242510348377215</v>
      </c>
      <c r="AH13" s="13">
        <f t="shared" si="13"/>
        <v>0.022817759031166</v>
      </c>
      <c r="AI13" s="13">
        <f t="shared" si="14"/>
        <v>0.0283719314005888</v>
      </c>
      <c r="AJ13" s="23">
        <f>RANK(AI13,$AI$5:$AI$25,1)</f>
        <v>11</v>
      </c>
      <c r="AK13" s="13">
        <f t="shared" si="15"/>
        <v>0.00555417236942278</v>
      </c>
      <c r="AL13" s="21">
        <v>198.345805</v>
      </c>
      <c r="AM13" s="21">
        <f>VLOOKUP(B13,[1]Sheet1!$B$28:$F$52,4,0)</f>
        <v>697.490636</v>
      </c>
      <c r="AN13" s="22">
        <f t="shared" si="16"/>
        <v>2.51653838103609</v>
      </c>
      <c r="AO13" s="23">
        <f>RANK(AN13,$AN$5:$AN$25,1)</f>
        <v>20</v>
      </c>
      <c r="AP13" s="22">
        <f t="shared" si="17"/>
        <v>0.0602724226722207</v>
      </c>
      <c r="AQ13" s="22" t="e">
        <f>AM13/#REF!</f>
        <v>#REF!</v>
      </c>
      <c r="AR13" s="23" t="e">
        <f>RANK(AQ13,$AQ$5:$AQ$25,1)</f>
        <v>#REF!</v>
      </c>
      <c r="AS13" s="42">
        <v>100.987422</v>
      </c>
      <c r="AT13" s="42">
        <f>VLOOKUP(B13,[1]Sheet1!$B$28:$F$52,2,0)</f>
        <v>497.568315</v>
      </c>
      <c r="AU13" s="43">
        <f t="shared" si="18"/>
        <v>0.061134662307476</v>
      </c>
      <c r="AV13" s="44">
        <f>RANK(AU13,$AU$5:$AU$25,1)</f>
        <v>1</v>
      </c>
      <c r="AW13" s="49">
        <f t="shared" si="19"/>
        <v>3.92703254668685</v>
      </c>
      <c r="AX13" s="50">
        <f>RANK(AW13,$AW$5:$AW$25,1)</f>
        <v>19</v>
      </c>
      <c r="AY13" s="21">
        <f>VLOOKUP(B13,[3]计算结果表!$B$1:$P$29,15,0)</f>
        <v>10741.120023</v>
      </c>
      <c r="AZ13" s="21">
        <f>VLOOKUP(B13,[2]计算结果表!$B$1:$R$30,17,0)</f>
        <v>7556.030142</v>
      </c>
      <c r="BA13" s="22">
        <f t="shared" si="20"/>
        <v>-0.296532379694087</v>
      </c>
      <c r="BB13" s="22">
        <f t="shared" si="21"/>
        <v>0.0899290088434677</v>
      </c>
      <c r="BC13" s="22">
        <f t="shared" si="22"/>
        <v>0.0624731619000696</v>
      </c>
      <c r="BD13" s="23">
        <f>RANK(BC13,$BC$5:$BC$25,0)</f>
        <v>16</v>
      </c>
      <c r="BE13" s="22">
        <f t="shared" si="23"/>
        <v>-0.0274558469433981</v>
      </c>
      <c r="BF13" s="29">
        <f>VLOOKUP(B13,[5]市州营业收现率202412完成!$B$1:$AH$28,6,0)</f>
        <v>122533.986305</v>
      </c>
      <c r="BG13" s="29">
        <f>VLOOKUP(B13,[4]市州营业收现率12月完成!$B$1:$AI$28,7,0)</f>
        <v>118548.111701953</v>
      </c>
      <c r="BH13" s="22">
        <f>VLOOKUP(B13,[5]市州营业收现率202412完成!$B$1:$AH$28,5,0)</f>
        <v>1.0259041807979</v>
      </c>
      <c r="BI13" s="22">
        <f>VLOOKUP(B13,[4]市州营业收现率12月完成!$B$1:$AI$28,5,0)</f>
        <v>0.980154292151002</v>
      </c>
      <c r="BJ13" s="54">
        <f>RANK(BI13,$BI$5:$BI$25,0)</f>
        <v>21</v>
      </c>
    </row>
    <row r="14" s="1" customFormat="1" ht="15" customHeight="1" spans="1:62">
      <c r="A14" s="10">
        <v>10</v>
      </c>
      <c r="B14" s="10" t="s">
        <v>69</v>
      </c>
      <c r="C14" s="11">
        <v>112625.500822</v>
      </c>
      <c r="D14" s="11">
        <v>16847.359523</v>
      </c>
      <c r="E14" s="12">
        <f>VLOOKUP(B14,[6]Sheet1!$A$2:$I$24,5,0)</f>
        <v>108454.177515746</v>
      </c>
      <c r="F14" s="12">
        <f>VLOOKUP(B14,[6]Sheet1!$A$2:$I$24,7,0)</f>
        <v>14837.5039077463</v>
      </c>
      <c r="G14" s="13">
        <f t="shared" si="0"/>
        <v>-0.0370371121620724</v>
      </c>
      <c r="H14" s="13">
        <f t="shared" si="1"/>
        <v>-0.119297959571044</v>
      </c>
      <c r="I14" s="21">
        <f>VLOOKUP(B14,[3]计算结果表!$B$1:$P$29,2,0)</f>
        <v>7986.370995</v>
      </c>
      <c r="J14" s="21">
        <f>VLOOKUP(B14,[2]计算结果表!$B$1:$R$30,13,0)</f>
        <v>11365.975255</v>
      </c>
      <c r="K14" s="22">
        <f t="shared" si="2"/>
        <v>0.423171458240026</v>
      </c>
      <c r="L14" s="22">
        <f t="shared" si="3"/>
        <v>0.070910858879306</v>
      </c>
      <c r="M14" s="22">
        <f t="shared" si="4"/>
        <v>0.104799792090534</v>
      </c>
      <c r="N14" s="23">
        <f>RANK(M14,$M$5:$M$25,1)</f>
        <v>15</v>
      </c>
      <c r="O14" s="22">
        <f t="shared" si="5"/>
        <v>0.033888933211228</v>
      </c>
      <c r="P14" s="21">
        <f>VLOOKUP(B14,[3]计算结果表!$B$1:$P$29,13,0)</f>
        <v>6107.708815</v>
      </c>
      <c r="Q14" s="21">
        <f>VLOOKUP(B14,[2]计算结果表!$B$1:$R$30,15,0)</f>
        <v>8838.402311</v>
      </c>
      <c r="R14" s="22">
        <f t="shared" si="6"/>
        <v>0.447089666307217</v>
      </c>
      <c r="S14" s="22">
        <f t="shared" si="7"/>
        <v>0.362532111139539</v>
      </c>
      <c r="T14" s="22">
        <f t="shared" si="8"/>
        <v>0.595679864076442</v>
      </c>
      <c r="U14" s="23">
        <f>RANK(T14,$T$5:$T$25,1)</f>
        <v>14</v>
      </c>
      <c r="V14" s="22">
        <f t="shared" si="9"/>
        <v>0.233147752936903</v>
      </c>
      <c r="W14" s="29">
        <f>VLOOKUP(B14,[2]计算结果表!$V$1:$Z$25,2,0)+VLOOKUP(B14,[2]计算结果表!$V$1:$Z$25,4,0)</f>
        <v>2329.368152</v>
      </c>
      <c r="X14" s="29">
        <f>VLOOKUP(B14,[2]计算结果表!$V$1:$Z$25,3,0)+VLOOKUP(B14,[2]计算结果表!$V$1:$Z$25,5,0)+VLOOKUP(B14,[2]计算结果表!$B$1:$R$28,5,0)</f>
        <v>6509.034159</v>
      </c>
      <c r="Y14" s="29">
        <f>VLOOKUP(B14,[6]Sheet1!$A$2:$I$24,8,0)</f>
        <v>7589.98897674634</v>
      </c>
      <c r="Z14" s="29">
        <f>VLOOKUP(B14,[6]Sheet1!$A$2:$I$24,9,0)</f>
        <v>7247.514931</v>
      </c>
      <c r="AA14" s="22">
        <f t="shared" si="10"/>
        <v>0.306900070492401</v>
      </c>
      <c r="AB14" s="23">
        <f>RANK(AA14,$AA$5:$AA$25,1)</f>
        <v>16</v>
      </c>
      <c r="AC14" s="22">
        <f t="shared" si="11"/>
        <v>0.898105657038211</v>
      </c>
      <c r="AD14" s="23">
        <f>RANK(AC14,$AC$5:$AC$25,1)</f>
        <v>15</v>
      </c>
      <c r="AE14" s="35">
        <f>VLOOKUP(B14,[3]计算结果表!$B$1:$P$29,14,0)</f>
        <v>2397.828856</v>
      </c>
      <c r="AF14" s="35">
        <f>VLOOKUP(B14,[2]计算结果表!$B$1:$R$30,16,0)</f>
        <v>2527.572944</v>
      </c>
      <c r="AG14" s="13">
        <f t="shared" si="12"/>
        <v>0.0541089860001251</v>
      </c>
      <c r="AH14" s="13">
        <f t="shared" si="13"/>
        <v>0.0250352410631405</v>
      </c>
      <c r="AI14" s="13">
        <f t="shared" si="14"/>
        <v>0.0269991748968104</v>
      </c>
      <c r="AJ14" s="23">
        <f>RANK(AI14,$AI$5:$AI$25,1)</f>
        <v>9</v>
      </c>
      <c r="AK14" s="13">
        <f t="shared" si="15"/>
        <v>0.00196393383366992</v>
      </c>
      <c r="AL14" s="21">
        <v>745.248893</v>
      </c>
      <c r="AM14" s="21">
        <f>VLOOKUP(B14,[1]Sheet1!$B$28:$F$52,4,0)</f>
        <v>1445.240569</v>
      </c>
      <c r="AN14" s="22">
        <f t="shared" si="16"/>
        <v>0.939272345889952</v>
      </c>
      <c r="AO14" s="23">
        <f>RANK(AN14,$AN$5:$AN$25,1)</f>
        <v>9</v>
      </c>
      <c r="AP14" s="22">
        <f t="shared" si="17"/>
        <v>0.0933150855960204</v>
      </c>
      <c r="AQ14" s="22" t="e">
        <f>AM14/#REF!</f>
        <v>#REF!</v>
      </c>
      <c r="AR14" s="23" t="e">
        <f>RANK(AQ14,$AQ$5:$AQ$25,1)</f>
        <v>#REF!</v>
      </c>
      <c r="AS14" s="42">
        <v>515.044981</v>
      </c>
      <c r="AT14" s="42">
        <f>VLOOKUP(B14,[1]Sheet1!$B$28:$F$52,2,0)</f>
        <v>1120.167513</v>
      </c>
      <c r="AU14" s="43">
        <f t="shared" si="18"/>
        <v>0.126738688009922</v>
      </c>
      <c r="AV14" s="44">
        <f>RANK(AU14,$AU$5:$AU$25,1)</f>
        <v>8</v>
      </c>
      <c r="AW14" s="49">
        <f t="shared" si="19"/>
        <v>1.17489259059492</v>
      </c>
      <c r="AX14" s="50">
        <f>RANK(AW14,$AW$5:$AW$25,1)</f>
        <v>11</v>
      </c>
      <c r="AY14" s="21">
        <f>VLOOKUP(B14,[3]计算结果表!$B$1:$P$29,15,0)</f>
        <v>8556.935679</v>
      </c>
      <c r="AZ14" s="21">
        <f>VLOOKUP(B14,[2]计算结果表!$B$1:$R$30,17,0)</f>
        <v>9022.33236</v>
      </c>
      <c r="BA14" s="22">
        <f t="shared" si="20"/>
        <v>0.0543882411249337</v>
      </c>
      <c r="BB14" s="22">
        <f t="shared" si="21"/>
        <v>0.0759768934792475</v>
      </c>
      <c r="BC14" s="22">
        <f t="shared" si="22"/>
        <v>0.0831902704595227</v>
      </c>
      <c r="BD14" s="23">
        <f>RANK(BC14,$BC$5:$BC$25,0)</f>
        <v>9</v>
      </c>
      <c r="BE14" s="22">
        <f t="shared" si="23"/>
        <v>0.00721337698027523</v>
      </c>
      <c r="BF14" s="29">
        <f>VLOOKUP(B14,[5]市州营业收现率202412完成!$B$1:$AH$28,6,0)</f>
        <v>112332.568461</v>
      </c>
      <c r="BG14" s="29">
        <f>VLOOKUP(B14,[4]市州营业收现率12月完成!$B$1:$AI$28,7,0)</f>
        <v>113788.676838746</v>
      </c>
      <c r="BH14" s="22">
        <f>VLOOKUP(B14,[5]市州营业收现率202412完成!$B$1:$AH$28,5,0)</f>
        <v>0.997399058305073</v>
      </c>
      <c r="BI14" s="22">
        <f>VLOOKUP(B14,[4]市州营业收现率12月完成!$B$1:$AI$28,5,0)</f>
        <v>1.0491866652368</v>
      </c>
      <c r="BJ14" s="54">
        <f>RANK(BI14,$BI$5:$BI$25,0)</f>
        <v>10</v>
      </c>
    </row>
    <row r="15" s="1" customFormat="1" ht="15" customHeight="1" spans="1:62">
      <c r="A15" s="10">
        <v>11</v>
      </c>
      <c r="B15" s="10" t="s">
        <v>70</v>
      </c>
      <c r="C15" s="11">
        <v>86652.332642</v>
      </c>
      <c r="D15" s="11">
        <v>9254.438979</v>
      </c>
      <c r="E15" s="12">
        <f>VLOOKUP(B15,[6]Sheet1!$A$2:$I$24,5,0)</f>
        <v>87486.8093159926</v>
      </c>
      <c r="F15" s="12">
        <f>VLOOKUP(B15,[6]Sheet1!$A$2:$I$24,7,0)</f>
        <v>8336.97699699262</v>
      </c>
      <c r="G15" s="13">
        <f t="shared" si="0"/>
        <v>0.00963016976634901</v>
      </c>
      <c r="H15" s="13">
        <f t="shared" si="1"/>
        <v>-0.0991375040766131</v>
      </c>
      <c r="I15" s="21">
        <f>VLOOKUP(B15,[3]计算结果表!$B$1:$P$29,2,0)</f>
        <v>4842.636721</v>
      </c>
      <c r="J15" s="21">
        <f>VLOOKUP(B15,[2]计算结果表!$B$1:$R$30,13,0)</f>
        <v>6191.908646</v>
      </c>
      <c r="K15" s="22">
        <f t="shared" si="2"/>
        <v>0.278623403475406</v>
      </c>
      <c r="L15" s="22">
        <f t="shared" si="3"/>
        <v>0.0558858206507507</v>
      </c>
      <c r="M15" s="22">
        <f t="shared" si="4"/>
        <v>0.0707753396701841</v>
      </c>
      <c r="N15" s="23">
        <f>RANK(M15,$M$5:$M$25,1)</f>
        <v>5</v>
      </c>
      <c r="O15" s="22">
        <f t="shared" si="5"/>
        <v>0.0148895190194334</v>
      </c>
      <c r="P15" s="21">
        <f>VLOOKUP(B15,[3]计算结果表!$B$1:$P$29,13,0)</f>
        <v>4238.896979</v>
      </c>
      <c r="Q15" s="21">
        <f>VLOOKUP(B15,[2]计算结果表!$B$1:$R$30,15,0)</f>
        <v>3991.007767</v>
      </c>
      <c r="R15" s="22">
        <f t="shared" si="6"/>
        <v>-0.0584796500665321</v>
      </c>
      <c r="S15" s="22">
        <f t="shared" si="7"/>
        <v>0.45803932454672</v>
      </c>
      <c r="T15" s="22">
        <f t="shared" si="8"/>
        <v>0.478711620343881</v>
      </c>
      <c r="U15" s="23">
        <f>RANK(T15,$T$5:$T$25,1)</f>
        <v>9</v>
      </c>
      <c r="V15" s="22">
        <f t="shared" si="9"/>
        <v>0.020672295797161</v>
      </c>
      <c r="W15" s="29">
        <f>VLOOKUP(B15,[2]计算结果表!$V$1:$Z$25,2,0)+VLOOKUP(B15,[2]计算结果表!$V$1:$Z$25,4,0)</f>
        <v>475.014309</v>
      </c>
      <c r="X15" s="29">
        <f>VLOOKUP(B15,[2]计算结果表!$V$1:$Z$25,3,0)+VLOOKUP(B15,[2]计算结果表!$V$1:$Z$25,5,0)+VLOOKUP(B15,[2]计算结果表!$B$1:$R$28,5,0)</f>
        <v>3515.993458</v>
      </c>
      <c r="Y15" s="29">
        <f>VLOOKUP(B15,[6]Sheet1!$A$2:$I$24,8,0)</f>
        <v>3135.49682999262</v>
      </c>
      <c r="Z15" s="29">
        <f>VLOOKUP(B15,[6]Sheet1!$A$2:$I$24,9,0)</f>
        <v>5201.480167</v>
      </c>
      <c r="AA15" s="22">
        <f t="shared" si="10"/>
        <v>0.151495706982143</v>
      </c>
      <c r="AB15" s="23">
        <f>RANK(AA15,$AA$5:$AA$25,1)</f>
        <v>6</v>
      </c>
      <c r="AC15" s="22">
        <f t="shared" si="11"/>
        <v>0.675960177702241</v>
      </c>
      <c r="AD15" s="23">
        <f>RANK(AC15,$AC$5:$AC$25,1)</f>
        <v>12</v>
      </c>
      <c r="AE15" s="35">
        <f>VLOOKUP(B15,[3]计算结果表!$B$1:$P$29,14,0)</f>
        <v>2238.372342</v>
      </c>
      <c r="AF15" s="35">
        <f>VLOOKUP(B15,[2]计算结果表!$B$1:$R$30,16,0)</f>
        <v>2200.900879</v>
      </c>
      <c r="AG15" s="13">
        <f t="shared" si="12"/>
        <v>-0.0167404958937794</v>
      </c>
      <c r="AH15" s="13">
        <f t="shared" si="13"/>
        <v>0.0289203263301473</v>
      </c>
      <c r="AI15" s="13">
        <f t="shared" si="14"/>
        <v>0.0278067661612932</v>
      </c>
      <c r="AJ15" s="23">
        <f>RANK(AI15,$AI$5:$AI$25,1)</f>
        <v>10</v>
      </c>
      <c r="AK15" s="13">
        <f t="shared" si="15"/>
        <v>-0.0011135601688541</v>
      </c>
      <c r="AL15" s="21">
        <v>1755.015226</v>
      </c>
      <c r="AM15" s="21">
        <f>VLOOKUP(B15,[1]Sheet1!$B$28:$F$52,4,0)</f>
        <v>977.283538</v>
      </c>
      <c r="AN15" s="22">
        <f t="shared" si="16"/>
        <v>-0.443148114317271</v>
      </c>
      <c r="AO15" s="23">
        <f>RANK(AN15,$AN$5:$AN$25,1)</f>
        <v>2</v>
      </c>
      <c r="AP15" s="22">
        <f t="shared" si="17"/>
        <v>0.362409019530499</v>
      </c>
      <c r="AQ15" s="22" t="e">
        <f>AM15/#REF!</f>
        <v>#REF!</v>
      </c>
      <c r="AR15" s="23" t="e">
        <f>RANK(AQ15,$AQ$5:$AQ$25,1)</f>
        <v>#REF!</v>
      </c>
      <c r="AS15" s="42">
        <v>1510.45549</v>
      </c>
      <c r="AT15" s="42">
        <f>VLOOKUP(B15,[1]Sheet1!$B$28:$F$52,2,0)</f>
        <v>721.19031</v>
      </c>
      <c r="AU15" s="43">
        <f t="shared" si="18"/>
        <v>0.180703810191307</v>
      </c>
      <c r="AV15" s="44">
        <f>RANK(AU15,$AU$5:$AU$25,1)</f>
        <v>14</v>
      </c>
      <c r="AW15" s="49">
        <f t="shared" si="19"/>
        <v>-0.52253455015745</v>
      </c>
      <c r="AX15" s="50">
        <f>RANK(AW15,$AW$5:$AW$25,1)</f>
        <v>1</v>
      </c>
      <c r="AY15" s="21">
        <f>VLOOKUP(B15,[3]计算结果表!$B$1:$P$29,15,0)</f>
        <v>4456.549274</v>
      </c>
      <c r="AZ15" s="21">
        <f>VLOOKUP(B15,[2]计算结果表!$B$1:$R$30,17,0)</f>
        <v>5539.072903</v>
      </c>
      <c r="BA15" s="22">
        <f t="shared" si="20"/>
        <v>0.242906240331631</v>
      </c>
      <c r="BB15" s="22">
        <f t="shared" si="21"/>
        <v>0.0514302285711341</v>
      </c>
      <c r="BC15" s="22">
        <f t="shared" si="22"/>
        <v>0.0633132348328476</v>
      </c>
      <c r="BD15" s="23">
        <f>RANK(BC15,$BC$5:$BC$25,0)</f>
        <v>15</v>
      </c>
      <c r="BE15" s="22">
        <f t="shared" si="23"/>
        <v>0.0118830062617135</v>
      </c>
      <c r="BF15" s="29">
        <f>VLOOKUP(B15,[5]市州营业收现率202412完成!$B$1:$AH$28,6,0)</f>
        <v>85392.157138</v>
      </c>
      <c r="BG15" s="29">
        <f>VLOOKUP(B15,[4]市州营业收现率12月完成!$B$1:$AI$28,7,0)</f>
        <v>93158.8287209926</v>
      </c>
      <c r="BH15" s="22">
        <f>VLOOKUP(B15,[5]市州营业收现率202412完成!$B$1:$AH$28,5,0)</f>
        <v>0.985457108128799</v>
      </c>
      <c r="BI15" s="22">
        <f>VLOOKUP(B15,[4]市州营业收现率12月完成!$B$1:$AI$28,5,0)</f>
        <v>1.06483285251052</v>
      </c>
      <c r="BJ15" s="54">
        <f>RANK(BI15,$BI$5:$BI$25,0)</f>
        <v>5</v>
      </c>
    </row>
    <row r="16" s="1" customFormat="1" ht="15" customHeight="1" spans="1:62">
      <c r="A16" s="10">
        <v>12</v>
      </c>
      <c r="B16" s="10" t="s">
        <v>71</v>
      </c>
      <c r="C16" s="11">
        <v>82743.628556</v>
      </c>
      <c r="D16" s="11">
        <v>11544.910693</v>
      </c>
      <c r="E16" s="12">
        <f>VLOOKUP(B16,[6]Sheet1!$A$2:$I$24,5,0)</f>
        <v>77707.532493087</v>
      </c>
      <c r="F16" s="12">
        <f>VLOOKUP(B16,[6]Sheet1!$A$2:$I$24,7,0)</f>
        <v>7596.70859308697</v>
      </c>
      <c r="G16" s="13">
        <f t="shared" si="0"/>
        <v>-0.0608638532150499</v>
      </c>
      <c r="H16" s="13">
        <f t="shared" si="1"/>
        <v>-0.341986370003445</v>
      </c>
      <c r="I16" s="21">
        <f>VLOOKUP(B16,[3]计算结果表!$B$1:$P$29,2,0)</f>
        <v>6883.383743</v>
      </c>
      <c r="J16" s="21">
        <f>VLOOKUP(B16,[2]计算结果表!$B$1:$R$30,13,0)</f>
        <v>10447.295967</v>
      </c>
      <c r="K16" s="22">
        <f t="shared" si="2"/>
        <v>0.517755853380148</v>
      </c>
      <c r="L16" s="22">
        <f t="shared" si="3"/>
        <v>0.0831892903795173</v>
      </c>
      <c r="M16" s="22">
        <f t="shared" si="4"/>
        <v>0.134443800128764</v>
      </c>
      <c r="N16" s="23">
        <f>RANK(M16,$M$5:$M$25,1)</f>
        <v>21</v>
      </c>
      <c r="O16" s="22">
        <f t="shared" si="5"/>
        <v>0.0512545097492467</v>
      </c>
      <c r="P16" s="21">
        <f>VLOOKUP(B16,[3]计算结果表!$B$1:$P$29,13,0)</f>
        <v>6808.097725</v>
      </c>
      <c r="Q16" s="21">
        <f>VLOOKUP(B16,[2]计算结果表!$B$1:$R$30,15,0)</f>
        <v>8736.906043</v>
      </c>
      <c r="R16" s="22">
        <f t="shared" si="6"/>
        <v>0.283310903560804</v>
      </c>
      <c r="S16" s="22">
        <f t="shared" si="7"/>
        <v>0.58970553398286</v>
      </c>
      <c r="T16" s="22">
        <f t="shared" si="8"/>
        <v>1.15009098163257</v>
      </c>
      <c r="U16" s="23">
        <f>RANK(T16,$T$5:$T$25,1)</f>
        <v>21</v>
      </c>
      <c r="V16" s="22">
        <f t="shared" si="9"/>
        <v>0.560385447649714</v>
      </c>
      <c r="W16" s="29">
        <f>VLOOKUP(B16,[2]计算结果表!$V$1:$Z$25,2,0)+VLOOKUP(B16,[2]计算结果表!$V$1:$Z$25,4,0)</f>
        <v>1020.697299</v>
      </c>
      <c r="X16" s="29">
        <f>VLOOKUP(B16,[2]计算结果表!$V$1:$Z$25,3,0)+VLOOKUP(B16,[2]计算结果表!$V$1:$Z$25,5,0)+VLOOKUP(B16,[2]计算结果表!$B$1:$R$28,5,0)</f>
        <v>7716.208744</v>
      </c>
      <c r="Y16" s="29">
        <f>VLOOKUP(B16,[6]Sheet1!$A$2:$I$24,8,0)</f>
        <v>2433.91141408697</v>
      </c>
      <c r="Z16" s="29">
        <f>VLOOKUP(B16,[6]Sheet1!$A$2:$I$24,9,0)</f>
        <v>5162.797179</v>
      </c>
      <c r="AA16" s="22">
        <f t="shared" si="10"/>
        <v>0.419365015954327</v>
      </c>
      <c r="AB16" s="23">
        <f>RANK(AA16,$AA$5:$AA$25,1)</f>
        <v>21</v>
      </c>
      <c r="AC16" s="22">
        <f t="shared" si="11"/>
        <v>1.49457909665446</v>
      </c>
      <c r="AD16" s="23">
        <f>RANK(AC16,$AC$5:$AC$25,1)</f>
        <v>21</v>
      </c>
      <c r="AE16" s="35">
        <f>VLOOKUP(B16,[3]计算结果表!$B$1:$P$29,14,0)</f>
        <v>1902.428118</v>
      </c>
      <c r="AF16" s="35">
        <f>VLOOKUP(B16,[2]计算结果表!$B$1:$R$30,16,0)</f>
        <v>1710.389924</v>
      </c>
      <c r="AG16" s="13">
        <f t="shared" si="12"/>
        <v>-0.100943731951296</v>
      </c>
      <c r="AH16" s="13">
        <f t="shared" si="13"/>
        <v>0.0267199772004411</v>
      </c>
      <c r="AI16" s="13">
        <f t="shared" si="14"/>
        <v>0.0243955188208821</v>
      </c>
      <c r="AJ16" s="23">
        <f>RANK(AI16,$AI$5:$AI$25,1)</f>
        <v>8</v>
      </c>
      <c r="AK16" s="13">
        <f t="shared" si="15"/>
        <v>-0.00232445837955902</v>
      </c>
      <c r="AL16" s="21">
        <v>770.000838</v>
      </c>
      <c r="AM16" s="21">
        <f>VLOOKUP(B16,[1]Sheet1!$B$28:$F$52,4,0)</f>
        <v>3768.07712</v>
      </c>
      <c r="AN16" s="22">
        <f t="shared" si="16"/>
        <v>3.89360132358713</v>
      </c>
      <c r="AO16" s="23">
        <f>RANK(AN16,$AN$5:$AN$25,1)</f>
        <v>21</v>
      </c>
      <c r="AP16" s="22">
        <f t="shared" si="17"/>
        <v>0.111863709296034</v>
      </c>
      <c r="AQ16" s="22" t="e">
        <f>AM16/#REF!</f>
        <v>#REF!</v>
      </c>
      <c r="AR16" s="23" t="e">
        <f>RANK(AQ16,$AQ$5:$AQ$25,1)</f>
        <v>#REF!</v>
      </c>
      <c r="AS16" s="42">
        <v>730.620726</v>
      </c>
      <c r="AT16" s="42">
        <f>VLOOKUP(B16,[1]Sheet1!$B$28:$F$52,2,0)</f>
        <v>2850.251941</v>
      </c>
      <c r="AU16" s="43">
        <f t="shared" si="18"/>
        <v>0.326231268480175</v>
      </c>
      <c r="AV16" s="44">
        <f>RANK(AU16,$AU$5:$AU$25,1)</f>
        <v>20</v>
      </c>
      <c r="AW16" s="49">
        <f t="shared" si="19"/>
        <v>2.90113753904102</v>
      </c>
      <c r="AX16" s="50">
        <f>RANK(AW16,$AW$5:$AW$25,1)</f>
        <v>15</v>
      </c>
      <c r="AY16" s="21">
        <f>VLOOKUP(B16,[3]计算结果表!$B$1:$P$29,15,0)</f>
        <v>5790.255995</v>
      </c>
      <c r="AZ16" s="21">
        <f>VLOOKUP(B16,[2]计算结果表!$B$1:$R$30,17,0)</f>
        <v>6760.996397</v>
      </c>
      <c r="BA16" s="22">
        <f t="shared" si="20"/>
        <v>0.167650688128168</v>
      </c>
      <c r="BB16" s="22">
        <f t="shared" si="21"/>
        <v>0.0699782701828361</v>
      </c>
      <c r="BC16" s="22">
        <f t="shared" si="22"/>
        <v>0.0870056760276292</v>
      </c>
      <c r="BD16" s="23">
        <f>RANK(BC16,$BC$5:$BC$25,0)</f>
        <v>7</v>
      </c>
      <c r="BE16" s="22">
        <f t="shared" si="23"/>
        <v>0.0170274058447931</v>
      </c>
      <c r="BF16" s="29">
        <f>VLOOKUP(B16,[5]市州营业收现率202412完成!$B$1:$AH$28,6,0)</f>
        <v>77350.60246</v>
      </c>
      <c r="BG16" s="29">
        <f>VLOOKUP(B16,[4]市州营业收现率12月完成!$B$1:$AI$28,7,0)</f>
        <v>82146.766976087</v>
      </c>
      <c r="BH16" s="22">
        <f>VLOOKUP(B16,[5]市州营业收现率202412完成!$B$1:$AH$28,5,0)</f>
        <v>0.934822460772915</v>
      </c>
      <c r="BI16" s="22">
        <f>VLOOKUP(B16,[4]市州营业收现率12月完成!$B$1:$AI$28,5,0)</f>
        <v>1.05712746680503</v>
      </c>
      <c r="BJ16" s="54">
        <f>RANK(BI16,$BI$5:$BI$25,0)</f>
        <v>8</v>
      </c>
    </row>
    <row r="17" s="1" customFormat="1" ht="15" customHeight="1" spans="1:62">
      <c r="A17" s="10">
        <v>13</v>
      </c>
      <c r="B17" s="10" t="s">
        <v>72</v>
      </c>
      <c r="C17" s="11">
        <v>85564.246417</v>
      </c>
      <c r="D17" s="11">
        <v>11840.340845</v>
      </c>
      <c r="E17" s="12">
        <f>VLOOKUP(B17,[6]Sheet1!$A$2:$I$24,5,0)</f>
        <v>85384.9795560445</v>
      </c>
      <c r="F17" s="12">
        <f>VLOOKUP(B17,[6]Sheet1!$A$2:$I$24,7,0)</f>
        <v>11191.0494950444</v>
      </c>
      <c r="G17" s="13">
        <f t="shared" si="0"/>
        <v>-0.0020951141214034</v>
      </c>
      <c r="H17" s="13">
        <f t="shared" si="1"/>
        <v>-0.0548372178179132</v>
      </c>
      <c r="I17" s="21">
        <f>VLOOKUP(B17,[3]计算结果表!$B$1:$P$29,2,0)</f>
        <v>4514.619554</v>
      </c>
      <c r="J17" s="21">
        <f>VLOOKUP(B17,[2]计算结果表!$B$1:$R$30,13,0)</f>
        <v>8285.826139</v>
      </c>
      <c r="K17" s="22">
        <f t="shared" si="2"/>
        <v>0.835332089424605</v>
      </c>
      <c r="L17" s="22">
        <f t="shared" si="3"/>
        <v>0.0527629207648001</v>
      </c>
      <c r="M17" s="22">
        <f t="shared" si="4"/>
        <v>0.0970407931474809</v>
      </c>
      <c r="N17" s="23">
        <f>RANK(M17,$M$5:$M$25,1)</f>
        <v>12</v>
      </c>
      <c r="O17" s="22">
        <f t="shared" si="5"/>
        <v>0.0442778723826808</v>
      </c>
      <c r="P17" s="21">
        <f>VLOOKUP(B17,[3]计算结果表!$B$1:$P$29,13,0)</f>
        <v>2801.213651</v>
      </c>
      <c r="Q17" s="21">
        <f>VLOOKUP(B17,[2]计算结果表!$B$1:$R$30,15,0)</f>
        <v>6571.936286</v>
      </c>
      <c r="R17" s="22">
        <f t="shared" si="6"/>
        <v>1.34610319125565</v>
      </c>
      <c r="S17" s="22">
        <f t="shared" si="7"/>
        <v>0.236582180164426</v>
      </c>
      <c r="T17" s="22">
        <f t="shared" si="8"/>
        <v>0.587249327143998</v>
      </c>
      <c r="U17" s="23">
        <f>RANK(T17,$T$5:$T$25,1)</f>
        <v>13</v>
      </c>
      <c r="V17" s="22">
        <f t="shared" si="9"/>
        <v>0.350667146979572</v>
      </c>
      <c r="W17" s="29">
        <f>VLOOKUP(B17,[2]计算结果表!$V$1:$Z$25,2,0)+VLOOKUP(B17,[2]计算结果表!$V$1:$Z$25,4,0)</f>
        <v>1106.682415</v>
      </c>
      <c r="X17" s="29">
        <f>VLOOKUP(B17,[2]计算结果表!$V$1:$Z$25,3,0)+VLOOKUP(B17,[2]计算结果表!$V$1:$Z$25,5,0)+VLOOKUP(B17,[2]计算结果表!$B$1:$R$28,5,0)</f>
        <v>5465.253871</v>
      </c>
      <c r="Y17" s="29">
        <f>VLOOKUP(B17,[6]Sheet1!$A$2:$I$24,8,0)</f>
        <v>3513.09017504445</v>
      </c>
      <c r="Z17" s="29">
        <f>VLOOKUP(B17,[6]Sheet1!$A$2:$I$24,9,0)</f>
        <v>7677.95932</v>
      </c>
      <c r="AA17" s="22">
        <f t="shared" si="10"/>
        <v>0.315016797138148</v>
      </c>
      <c r="AB17" s="23">
        <f>RANK(AA17,$AA$5:$AA$25,1)</f>
        <v>17</v>
      </c>
      <c r="AC17" s="22">
        <f t="shared" si="11"/>
        <v>0.711810735537994</v>
      </c>
      <c r="AD17" s="23">
        <f>RANK(AC17,$AC$5:$AC$25,1)</f>
        <v>13</v>
      </c>
      <c r="AE17" s="35">
        <f>VLOOKUP(B17,[3]计算结果表!$B$1:$P$29,14,0)</f>
        <v>1763.373845</v>
      </c>
      <c r="AF17" s="35">
        <f>VLOOKUP(B17,[2]计算结果表!$B$1:$R$30,16,0)</f>
        <v>1713.889853</v>
      </c>
      <c r="AG17" s="13">
        <f t="shared" si="12"/>
        <v>-0.028062110675119</v>
      </c>
      <c r="AH17" s="13">
        <f t="shared" si="13"/>
        <v>0.0239186167813351</v>
      </c>
      <c r="AI17" s="13">
        <f t="shared" si="14"/>
        <v>0.0231001357063966</v>
      </c>
      <c r="AJ17" s="23">
        <f>RANK(AI17,$AI$5:$AI$25,1)</f>
        <v>7</v>
      </c>
      <c r="AK17" s="13">
        <f t="shared" si="15"/>
        <v>-0.00081848107493851</v>
      </c>
      <c r="AL17" s="21">
        <v>433.236312</v>
      </c>
      <c r="AM17" s="21">
        <f>VLOOKUP(B17,[1]Sheet1!$B$28:$F$52,4,0)</f>
        <v>1146.961716</v>
      </c>
      <c r="AN17" s="22">
        <f t="shared" si="16"/>
        <v>1.64742747602376</v>
      </c>
      <c r="AO17" s="23">
        <f>RANK(AN17,$AN$5:$AN$25,1)</f>
        <v>15</v>
      </c>
      <c r="AP17" s="22">
        <f t="shared" si="17"/>
        <v>0.0959629724759749</v>
      </c>
      <c r="AQ17" s="22" t="e">
        <f>AM17/#REF!</f>
        <v>#REF!</v>
      </c>
      <c r="AR17" s="23" t="e">
        <f>RANK(AQ17,$AQ$5:$AQ$25,1)</f>
        <v>#REF!</v>
      </c>
      <c r="AS17" s="42">
        <v>203.790156</v>
      </c>
      <c r="AT17" s="42">
        <f>VLOOKUP(B17,[1]Sheet1!$B$28:$F$52,2,0)</f>
        <v>906.123423</v>
      </c>
      <c r="AU17" s="43">
        <f t="shared" si="18"/>
        <v>0.137877694421702</v>
      </c>
      <c r="AV17" s="44">
        <f>RANK(AU17,$AU$5:$AU$25,1)</f>
        <v>10</v>
      </c>
      <c r="AW17" s="49">
        <f t="shared" si="19"/>
        <v>3.44635521550904</v>
      </c>
      <c r="AX17" s="50">
        <f>RANK(AW17,$AW$5:$AW$25,1)</f>
        <v>17</v>
      </c>
      <c r="AY17" s="21">
        <f>VLOOKUP(B17,[3]计算结果表!$B$1:$P$29,15,0)</f>
        <v>3960.852307</v>
      </c>
      <c r="AZ17" s="21">
        <f>VLOOKUP(B17,[2]计算结果表!$B$1:$R$30,17,0)</f>
        <v>3688.565748</v>
      </c>
      <c r="BA17" s="22">
        <f t="shared" si="20"/>
        <v>-0.0687444362716553</v>
      </c>
      <c r="BB17" s="22">
        <f t="shared" si="21"/>
        <v>0.0462909740091283</v>
      </c>
      <c r="BC17" s="22">
        <f t="shared" si="22"/>
        <v>0.0431992344224773</v>
      </c>
      <c r="BD17" s="23">
        <f>RANK(BC17,$BC$5:$BC$25,0)</f>
        <v>21</v>
      </c>
      <c r="BE17" s="22">
        <f t="shared" si="23"/>
        <v>-0.00309173958665098</v>
      </c>
      <c r="BF17" s="29">
        <f>VLOOKUP(B17,[5]市州营业收现率202412完成!$B$1:$AH$28,6,0)</f>
        <v>82790.710734</v>
      </c>
      <c r="BG17" s="29">
        <f>VLOOKUP(B17,[4]市州营业收现率12月完成!$B$1:$AI$28,7,0)</f>
        <v>86499.6590190445</v>
      </c>
      <c r="BH17" s="22">
        <f>VLOOKUP(B17,[5]市州营业收现率202412完成!$B$1:$AH$28,5,0)</f>
        <v>0.967585343187818</v>
      </c>
      <c r="BI17" s="22">
        <f>VLOOKUP(B17,[4]市州营业收现率12月完成!$B$1:$AI$28,5,0)</f>
        <v>1.01305474884219</v>
      </c>
      <c r="BJ17" s="54">
        <f>RANK(BI17,$BI$5:$BI$25,0)</f>
        <v>17</v>
      </c>
    </row>
    <row r="18" s="1" customFormat="1" ht="15" spans="1:62">
      <c r="A18" s="10">
        <v>14</v>
      </c>
      <c r="B18" s="10" t="s">
        <v>73</v>
      </c>
      <c r="C18" s="11">
        <v>79631.986928</v>
      </c>
      <c r="D18" s="11">
        <v>12328.887336</v>
      </c>
      <c r="E18" s="12">
        <f>VLOOKUP(B18,[6]Sheet1!$A$2:$I$24,5,0)</f>
        <v>81589.1345996973</v>
      </c>
      <c r="F18" s="12">
        <f>VLOOKUP(B18,[6]Sheet1!$A$2:$I$24,7,0)</f>
        <v>9567.37989069726</v>
      </c>
      <c r="G18" s="13">
        <f t="shared" si="0"/>
        <v>0.0245774059796708</v>
      </c>
      <c r="H18" s="13">
        <f t="shared" si="1"/>
        <v>-0.223986753227862</v>
      </c>
      <c r="I18" s="21">
        <f>VLOOKUP(B18,[3]计算结果表!$B$1:$P$29,2,0)</f>
        <v>4741.550916</v>
      </c>
      <c r="J18" s="21">
        <f>VLOOKUP(B18,[2]计算结果表!$B$1:$R$30,13,0)</f>
        <v>7142.70072</v>
      </c>
      <c r="K18" s="22">
        <f t="shared" si="2"/>
        <v>0.506405993848448</v>
      </c>
      <c r="L18" s="22">
        <f t="shared" si="3"/>
        <v>0.0595432953379289</v>
      </c>
      <c r="M18" s="22">
        <f t="shared" si="4"/>
        <v>0.0875447540293741</v>
      </c>
      <c r="N18" s="23">
        <f>RANK(M18,$M$5:$M$25,1)</f>
        <v>8</v>
      </c>
      <c r="O18" s="22">
        <f t="shared" si="5"/>
        <v>0.0280014586914452</v>
      </c>
      <c r="P18" s="21">
        <f>VLOOKUP(B18,[3]计算结果表!$B$1:$P$29,13,0)</f>
        <v>4762.015873</v>
      </c>
      <c r="Q18" s="21">
        <f>VLOOKUP(B18,[2]计算结果表!$B$1:$R$30,15,0)</f>
        <v>6773.733356</v>
      </c>
      <c r="R18" s="22">
        <f t="shared" si="6"/>
        <v>0.422450814245742</v>
      </c>
      <c r="S18" s="22">
        <f t="shared" si="7"/>
        <v>0.386248632437012</v>
      </c>
      <c r="T18" s="22">
        <f t="shared" si="8"/>
        <v>0.708002967728538</v>
      </c>
      <c r="U18" s="23">
        <f>RANK(T18,$T$5:$T$25,1)</f>
        <v>18</v>
      </c>
      <c r="V18" s="22">
        <f t="shared" si="9"/>
        <v>0.321754335291526</v>
      </c>
      <c r="W18" s="29">
        <f>VLOOKUP(B18,[2]计算结果表!$V$1:$Z$25,2,0)+VLOOKUP(B18,[2]计算结果表!$V$1:$Z$25,4,0)</f>
        <v>518.406279</v>
      </c>
      <c r="X18" s="29">
        <f>VLOOKUP(B18,[2]计算结果表!$V$1:$Z$25,3,0)+VLOOKUP(B18,[2]计算结果表!$V$1:$Z$25,5,0)+VLOOKUP(B18,[2]计算结果表!$B$1:$R$28,5,0)</f>
        <v>6255.327077</v>
      </c>
      <c r="Y18" s="29">
        <f>VLOOKUP(B18,[6]Sheet1!$A$2:$I$24,8,0)</f>
        <v>4975.32076769726</v>
      </c>
      <c r="Z18" s="29">
        <f>VLOOKUP(B18,[6]Sheet1!$A$2:$I$24,9,0)</f>
        <v>4592.059123</v>
      </c>
      <c r="AA18" s="22">
        <f t="shared" si="10"/>
        <v>0.104195549031894</v>
      </c>
      <c r="AB18" s="23">
        <f>RANK(AA18,$AA$5:$AA$25,1)</f>
        <v>2</v>
      </c>
      <c r="AC18" s="22">
        <f t="shared" si="11"/>
        <v>1.36220525682461</v>
      </c>
      <c r="AD18" s="23">
        <f>RANK(AC18,$AC$5:$AC$25,1)</f>
        <v>20</v>
      </c>
      <c r="AE18" s="35">
        <f>VLOOKUP(B18,[3]计算结果表!$B$1:$P$29,14,0)</f>
        <v>1953.083984</v>
      </c>
      <c r="AF18" s="35">
        <f>VLOOKUP(B18,[2]计算结果表!$B$1:$R$30,16,0)</f>
        <v>368.967363999999</v>
      </c>
      <c r="AG18" s="13">
        <f t="shared" si="12"/>
        <v>-0.811084742375319</v>
      </c>
      <c r="AH18" s="13">
        <f t="shared" si="13"/>
        <v>0.0290192278786541</v>
      </c>
      <c r="AI18" s="13">
        <f t="shared" si="14"/>
        <v>0.00512299881460527</v>
      </c>
      <c r="AJ18" s="23">
        <f>RANK(AI18,$AI$5:$AI$25,1)</f>
        <v>1</v>
      </c>
      <c r="AK18" s="13">
        <f t="shared" si="15"/>
        <v>-0.0238962290640488</v>
      </c>
      <c r="AL18" s="21">
        <v>896.817998</v>
      </c>
      <c r="AM18" s="21">
        <f>VLOOKUP(B18,[1]Sheet1!$B$28:$F$52,4,0)</f>
        <v>1433.23532</v>
      </c>
      <c r="AN18" s="22">
        <f t="shared" si="16"/>
        <v>0.598133983925688</v>
      </c>
      <c r="AO18" s="23">
        <f>RANK(AN18,$AN$5:$AN$25,1)</f>
        <v>6</v>
      </c>
      <c r="AP18" s="22">
        <f t="shared" si="17"/>
        <v>0.189140223080544</v>
      </c>
      <c r="AQ18" s="22" t="e">
        <f>AM18/#REF!</f>
        <v>#REF!</v>
      </c>
      <c r="AR18" s="23" t="e">
        <f>RANK(AQ18,$AQ$5:$AQ$25,1)</f>
        <v>#REF!</v>
      </c>
      <c r="AS18" s="42">
        <v>686.927902</v>
      </c>
      <c r="AT18" s="42">
        <f>VLOOKUP(B18,[1]Sheet1!$B$28:$F$52,2,0)</f>
        <v>1197.879527</v>
      </c>
      <c r="AU18" s="43">
        <f t="shared" si="18"/>
        <v>0.176841848364012</v>
      </c>
      <c r="AV18" s="44">
        <f>RANK(AU18,$AU$5:$AU$25,1)</f>
        <v>13</v>
      </c>
      <c r="AW18" s="49">
        <f t="shared" si="19"/>
        <v>0.74382132901045</v>
      </c>
      <c r="AX18" s="50">
        <f>RANK(AW18,$AW$5:$AW$25,1)</f>
        <v>8</v>
      </c>
      <c r="AY18" s="21">
        <f>VLOOKUP(B18,[3]计算结果表!$B$1:$P$29,15,0)</f>
        <v>6942.522619</v>
      </c>
      <c r="AZ18" s="21">
        <f>VLOOKUP(B18,[2]计算结果表!$B$1:$R$30,17,0)</f>
        <v>7147.390865</v>
      </c>
      <c r="BA18" s="22">
        <f t="shared" si="20"/>
        <v>0.0295091938828294</v>
      </c>
      <c r="BB18" s="22">
        <f t="shared" si="21"/>
        <v>0.0871825868827956</v>
      </c>
      <c r="BC18" s="22">
        <f t="shared" si="22"/>
        <v>0.0876022389509021</v>
      </c>
      <c r="BD18" s="23">
        <f>RANK(BC18,$BC$5:$BC$25,0)</f>
        <v>6</v>
      </c>
      <c r="BE18" s="22">
        <f t="shared" si="23"/>
        <v>0.000419652068106541</v>
      </c>
      <c r="BF18" s="29">
        <f>VLOOKUP(B18,[5]市州营业收现率202412完成!$B$1:$AH$28,6,0)</f>
        <v>81114.896982</v>
      </c>
      <c r="BG18" s="29">
        <f>VLOOKUP(B18,[4]市州营业收现率12月完成!$B$1:$AI$28,7,0)</f>
        <v>88961.1681326973</v>
      </c>
      <c r="BH18" s="22">
        <f>VLOOKUP(B18,[5]市州营业收现率202412完成!$B$1:$AH$28,5,0)</f>
        <v>1.01862204010231</v>
      </c>
      <c r="BI18" s="22">
        <f>VLOOKUP(B18,[4]市州营业收现率12月完成!$B$1:$AI$28,5,0)</f>
        <v>1.0903555794429</v>
      </c>
      <c r="BJ18" s="54">
        <f>RANK(BI18,$BI$5:$BI$25,0)</f>
        <v>2</v>
      </c>
    </row>
    <row r="19" s="1" customFormat="1" ht="15" customHeight="1" spans="1:62">
      <c r="A19" s="10">
        <v>15</v>
      </c>
      <c r="B19" s="10" t="s">
        <v>74</v>
      </c>
      <c r="C19" s="11">
        <v>73826.941741</v>
      </c>
      <c r="D19" s="11">
        <v>11218.976761</v>
      </c>
      <c r="E19" s="12">
        <f>VLOOKUP(B19,[6]Sheet1!$A$2:$I$24,5,0)</f>
        <v>74002.6261510923</v>
      </c>
      <c r="F19" s="12">
        <f>VLOOKUP(B19,[6]Sheet1!$A$2:$I$24,7,0)</f>
        <v>11380.1527230923</v>
      </c>
      <c r="G19" s="13">
        <f t="shared" si="0"/>
        <v>0.0023796788265813</v>
      </c>
      <c r="H19" s="13">
        <f t="shared" si="1"/>
        <v>0.0143663691908684</v>
      </c>
      <c r="I19" s="21">
        <f>VLOOKUP(B19,[3]计算结果表!$B$1:$P$29,2,0)</f>
        <v>4448.85043</v>
      </c>
      <c r="J19" s="21">
        <f>VLOOKUP(B19,[2]计算结果表!$B$1:$R$30,13,0)</f>
        <v>8195.026477</v>
      </c>
      <c r="K19" s="22">
        <f t="shared" si="2"/>
        <v>0.842054842243819</v>
      </c>
      <c r="L19" s="22">
        <f t="shared" si="3"/>
        <v>0.0602605271881297</v>
      </c>
      <c r="M19" s="22">
        <f t="shared" si="4"/>
        <v>0.110739671052593</v>
      </c>
      <c r="N19" s="23">
        <f>RANK(M19,$M$5:$M$25,1)</f>
        <v>19</v>
      </c>
      <c r="O19" s="22">
        <f t="shared" si="5"/>
        <v>0.0504791438644633</v>
      </c>
      <c r="P19" s="21">
        <f>VLOOKUP(B19,[3]计算结果表!$B$1:$P$29,13,0)</f>
        <v>2844.75239</v>
      </c>
      <c r="Q19" s="21">
        <f>VLOOKUP(B19,[2]计算结果表!$B$1:$R$30,15,0)</f>
        <v>4948.349572</v>
      </c>
      <c r="R19" s="22">
        <f t="shared" si="6"/>
        <v>0.739465828166507</v>
      </c>
      <c r="S19" s="22">
        <f t="shared" si="7"/>
        <v>0.253566118426154</v>
      </c>
      <c r="T19" s="22">
        <f t="shared" si="8"/>
        <v>0.434822773683779</v>
      </c>
      <c r="U19" s="23">
        <f>RANK(T19,$T$5:$T$25,1)</f>
        <v>8</v>
      </c>
      <c r="V19" s="22">
        <f t="shared" si="9"/>
        <v>0.181256655257625</v>
      </c>
      <c r="W19" s="29">
        <f>VLOOKUP(B19,[2]计算结果表!$V$1:$Z$25,2,0)+VLOOKUP(B19,[2]计算结果表!$V$1:$Z$25,4,0)</f>
        <v>492.984117</v>
      </c>
      <c r="X19" s="29">
        <f>VLOOKUP(B19,[2]计算结果表!$V$1:$Z$25,3,0)+VLOOKUP(B19,[2]计算结果表!$V$1:$Z$25,5,0)+VLOOKUP(B19,[2]计算结果表!$B$1:$R$28,5,0)</f>
        <v>4455.365455</v>
      </c>
      <c r="Y19" s="29">
        <f>VLOOKUP(B19,[6]Sheet1!$A$2:$I$24,8,0)</f>
        <v>4119.26822409231</v>
      </c>
      <c r="Z19" s="29">
        <f>VLOOKUP(B19,[6]Sheet1!$A$2:$I$24,9,0)</f>
        <v>7260.884499</v>
      </c>
      <c r="AA19" s="22">
        <f t="shared" si="10"/>
        <v>0.11967759567505</v>
      </c>
      <c r="AB19" s="23">
        <f>RANK(AA19,$AA$5:$AA$25,1)</f>
        <v>4</v>
      </c>
      <c r="AC19" s="22">
        <f t="shared" si="11"/>
        <v>0.613611944331798</v>
      </c>
      <c r="AD19" s="23">
        <f>RANK(AC19,$AC$5:$AC$25,1)</f>
        <v>8</v>
      </c>
      <c r="AE19" s="35">
        <f>VLOOKUP(B19,[3]计算结果表!$B$1:$P$29,14,0)</f>
        <v>1946.19804</v>
      </c>
      <c r="AF19" s="35">
        <f>VLOOKUP(B19,[2]计算结果表!$B$1:$R$30,16,0)</f>
        <v>3246.676905</v>
      </c>
      <c r="AG19" s="13">
        <f t="shared" si="12"/>
        <v>0.668215072809343</v>
      </c>
      <c r="AH19" s="13">
        <f t="shared" si="13"/>
        <v>0.03108547036502</v>
      </c>
      <c r="AI19" s="13">
        <f t="shared" si="14"/>
        <v>0.0518452358598205</v>
      </c>
      <c r="AJ19" s="23">
        <f>RANK(AI19,$AI$5:$AI$25,1)</f>
        <v>21</v>
      </c>
      <c r="AK19" s="13">
        <f t="shared" si="15"/>
        <v>0.0207597654948005</v>
      </c>
      <c r="AL19" s="21">
        <v>438.015633</v>
      </c>
      <c r="AM19" s="21">
        <f>VLOOKUP(B19,[1]Sheet1!$B$28:$F$52,4,0)</f>
        <v>947.56742</v>
      </c>
      <c r="AN19" s="22">
        <f t="shared" si="16"/>
        <v>1.16331872337534</v>
      </c>
      <c r="AO19" s="23">
        <f>RANK(AN19,$AN$5:$AN$25,1)</f>
        <v>11</v>
      </c>
      <c r="AP19" s="22">
        <f t="shared" si="17"/>
        <v>0.0984559134751581</v>
      </c>
      <c r="AQ19" s="22" t="e">
        <f>AM19/#REF!</f>
        <v>#REF!</v>
      </c>
      <c r="AR19" s="23" t="e">
        <f>RANK(AQ19,$AQ$5:$AQ$25,1)</f>
        <v>#REF!</v>
      </c>
      <c r="AS19" s="42">
        <v>193.932042</v>
      </c>
      <c r="AT19" s="42">
        <f>VLOOKUP(B19,[1]Sheet1!$B$28:$F$52,2,0)</f>
        <v>593.190114</v>
      </c>
      <c r="AU19" s="43">
        <f t="shared" si="18"/>
        <v>0.119876355817006</v>
      </c>
      <c r="AV19" s="44">
        <f>RANK(AU19,$AU$5:$AU$25,1)</f>
        <v>6</v>
      </c>
      <c r="AW19" s="49">
        <f t="shared" si="19"/>
        <v>2.05875247783963</v>
      </c>
      <c r="AX19" s="50">
        <f>RANK(AW19,$AW$5:$AW$25,1)</f>
        <v>13</v>
      </c>
      <c r="AY19" s="21">
        <f>VLOOKUP(B19,[3]计算结果表!$B$1:$P$29,15,0)</f>
        <v>4690.993313</v>
      </c>
      <c r="AZ19" s="21">
        <f>VLOOKUP(B19,[2]计算结果表!$B$1:$R$30,17,0)</f>
        <v>6289.212873</v>
      </c>
      <c r="BA19" s="22">
        <f t="shared" si="20"/>
        <v>0.34069960312476</v>
      </c>
      <c r="BB19" s="22">
        <f t="shared" si="21"/>
        <v>0.0635403986996639</v>
      </c>
      <c r="BC19" s="22">
        <f t="shared" si="22"/>
        <v>0.0849863471082664</v>
      </c>
      <c r="BD19" s="23">
        <f>RANK(BC19,$BC$5:$BC$25,0)</f>
        <v>8</v>
      </c>
      <c r="BE19" s="22">
        <f t="shared" si="23"/>
        <v>0.0214459484086025</v>
      </c>
      <c r="BF19" s="29">
        <f>VLOOKUP(B19,[5]市州营业收现率202412完成!$B$1:$AH$28,6,0)</f>
        <v>71317.968399</v>
      </c>
      <c r="BG19" s="29">
        <f>VLOOKUP(B19,[4]市州营业收现率12月完成!$B$1:$AI$28,7,0)</f>
        <v>74077.5466940923</v>
      </c>
      <c r="BH19" s="22">
        <f>VLOOKUP(B19,[5]市州营业收现率202412完成!$B$1:$AH$28,5,0)</f>
        <v>0.966015477780429</v>
      </c>
      <c r="BI19" s="22">
        <f>VLOOKUP(B19,[4]市州营业收现率12月完成!$B$1:$AI$28,5,0)</f>
        <v>1.00101240384155</v>
      </c>
      <c r="BJ19" s="54">
        <f>RANK(BI19,$BI$5:$BI$25,0)</f>
        <v>18</v>
      </c>
    </row>
    <row r="20" s="1" customFormat="1" ht="15" customHeight="1" spans="1:62">
      <c r="A20" s="10">
        <v>16</v>
      </c>
      <c r="B20" s="10" t="s">
        <v>75</v>
      </c>
      <c r="C20" s="11">
        <v>73517.194756</v>
      </c>
      <c r="D20" s="11">
        <v>8855.36753</v>
      </c>
      <c r="E20" s="12">
        <f>VLOOKUP(B20,[6]Sheet1!$A$2:$I$24,5,0)</f>
        <v>74765.4419522697</v>
      </c>
      <c r="F20" s="12">
        <f>VLOOKUP(B20,[6]Sheet1!$A$2:$I$24,7,0)</f>
        <v>8549.57793026971</v>
      </c>
      <c r="G20" s="13">
        <f t="shared" si="0"/>
        <v>0.01697898294967</v>
      </c>
      <c r="H20" s="13">
        <f t="shared" si="1"/>
        <v>-0.0345315537378141</v>
      </c>
      <c r="I20" s="21">
        <f>VLOOKUP(B20,[3]计算结果表!$B$1:$P$29,2,0)</f>
        <v>4524.448219</v>
      </c>
      <c r="J20" s="21">
        <f>VLOOKUP(B20,[2]计算结果表!$B$1:$R$30,13,0)</f>
        <v>5989.540752</v>
      </c>
      <c r="K20" s="22">
        <f t="shared" si="2"/>
        <v>0.323816841763705</v>
      </c>
      <c r="L20" s="22">
        <f t="shared" si="3"/>
        <v>0.0615427211826624</v>
      </c>
      <c r="M20" s="22">
        <f t="shared" si="4"/>
        <v>0.0801110860258637</v>
      </c>
      <c r="N20" s="23">
        <f>RANK(M20,$M$5:$M$25,1)</f>
        <v>6</v>
      </c>
      <c r="O20" s="22">
        <f t="shared" si="5"/>
        <v>0.0185683648432013</v>
      </c>
      <c r="P20" s="21">
        <f>VLOOKUP(B20,[3]计算结果表!$B$1:$P$29,13,0)</f>
        <v>2939.011684</v>
      </c>
      <c r="Q20" s="21">
        <f>VLOOKUP(B20,[2]计算结果表!$B$1:$R$30,15,0)</f>
        <v>5181.731037</v>
      </c>
      <c r="R20" s="22">
        <f t="shared" si="6"/>
        <v>0.763086232426152</v>
      </c>
      <c r="S20" s="22">
        <f t="shared" si="7"/>
        <v>0.331890423976564</v>
      </c>
      <c r="T20" s="22">
        <f t="shared" si="8"/>
        <v>0.606080332767554</v>
      </c>
      <c r="U20" s="23">
        <f>RANK(T20,$T$5:$T$25,1)</f>
        <v>15</v>
      </c>
      <c r="V20" s="22">
        <f t="shared" si="9"/>
        <v>0.27418990879099</v>
      </c>
      <c r="W20" s="29">
        <f>VLOOKUP(B20,[2]计算结果表!$V$1:$Z$25,2,0)+VLOOKUP(B20,[2]计算结果表!$V$1:$Z$25,4,0)</f>
        <v>715.175414</v>
      </c>
      <c r="X20" s="29">
        <f>VLOOKUP(B20,[2]计算结果表!$V$1:$Z$25,3,0)+VLOOKUP(B20,[2]计算结果表!$V$1:$Z$25,5,0)+VLOOKUP(B20,[2]计算结果表!$B$1:$R$28,5,0)</f>
        <v>4466.555623</v>
      </c>
      <c r="Y20" s="29">
        <f>VLOOKUP(B20,[6]Sheet1!$A$2:$I$24,8,0)</f>
        <v>3391.3965592697</v>
      </c>
      <c r="Z20" s="29">
        <f>VLOOKUP(B20,[6]Sheet1!$A$2:$I$24,9,0)</f>
        <v>5158.181371</v>
      </c>
      <c r="AA20" s="22">
        <f t="shared" si="10"/>
        <v>0.210879324048735</v>
      </c>
      <c r="AB20" s="23">
        <f>RANK(AA20,$AA$5:$AA$25,1)</f>
        <v>9</v>
      </c>
      <c r="AC20" s="22">
        <f t="shared" si="11"/>
        <v>0.86591674502017</v>
      </c>
      <c r="AD20" s="23">
        <f>RANK(AC20,$AC$5:$AC$25,1)</f>
        <v>14</v>
      </c>
      <c r="AE20" s="35">
        <f>VLOOKUP(B20,[3]计算结果表!$B$1:$P$29,14,0)</f>
        <v>1597.436535</v>
      </c>
      <c r="AF20" s="35">
        <f>VLOOKUP(B20,[2]计算结果表!$B$1:$R$30,16,0)</f>
        <v>807.809715</v>
      </c>
      <c r="AG20" s="13">
        <f t="shared" si="12"/>
        <v>-0.494308726950458</v>
      </c>
      <c r="AH20" s="13">
        <f t="shared" si="13"/>
        <v>0.0247044756316086</v>
      </c>
      <c r="AI20" s="13">
        <f t="shared" si="14"/>
        <v>0.0121996401758287</v>
      </c>
      <c r="AJ20" s="23">
        <f>RANK(AI20,$AI$5:$AI$25,1)</f>
        <v>2</v>
      </c>
      <c r="AK20" s="13">
        <f t="shared" si="15"/>
        <v>-0.0125048354557799</v>
      </c>
      <c r="AL20" s="21">
        <v>371.332624</v>
      </c>
      <c r="AM20" s="21">
        <f>VLOOKUP(B20,[1]Sheet1!$B$28:$F$52,4,0)</f>
        <v>975.374586</v>
      </c>
      <c r="AN20" s="22">
        <f t="shared" si="16"/>
        <v>1.62668702656193</v>
      </c>
      <c r="AO20" s="23">
        <f>RANK(AN20,$AN$5:$AN$25,1)</f>
        <v>14</v>
      </c>
      <c r="AP20" s="22">
        <f t="shared" si="17"/>
        <v>0.0820724663044265</v>
      </c>
      <c r="AQ20" s="22" t="e">
        <f>AM20/#REF!</f>
        <v>#REF!</v>
      </c>
      <c r="AR20" s="23" t="e">
        <f>RANK(AQ20,$AQ$5:$AQ$25,1)</f>
        <v>#REF!</v>
      </c>
      <c r="AS20" s="42">
        <v>124.10905</v>
      </c>
      <c r="AT20" s="42">
        <f>VLOOKUP(B20,[1]Sheet1!$B$28:$F$52,2,0)</f>
        <v>754.056608</v>
      </c>
      <c r="AU20" s="43">
        <f t="shared" si="18"/>
        <v>0.145522143587863</v>
      </c>
      <c r="AV20" s="44">
        <f>RANK(AU20,$AU$5:$AU$25,1)</f>
        <v>12</v>
      </c>
      <c r="AW20" s="49">
        <f t="shared" si="19"/>
        <v>5.07575843985592</v>
      </c>
      <c r="AX20" s="50">
        <f>RANK(AW20,$AW$5:$AW$25,1)</f>
        <v>20</v>
      </c>
      <c r="AY20" s="21">
        <f>VLOOKUP(B20,[3]计算结果表!$B$1:$P$29,15,0)</f>
        <v>2982.586011</v>
      </c>
      <c r="AZ20" s="21">
        <f>VLOOKUP(B20,[2]计算结果表!$B$1:$R$30,17,0)</f>
        <v>3797.509222</v>
      </c>
      <c r="BA20" s="22">
        <f t="shared" si="20"/>
        <v>0.273227061346933</v>
      </c>
      <c r="BB20" s="22">
        <f t="shared" si="21"/>
        <v>0.0405699104937159</v>
      </c>
      <c r="BC20" s="22">
        <f t="shared" si="22"/>
        <v>0.0507923062158093</v>
      </c>
      <c r="BD20" s="23">
        <f>RANK(BC20,$BC$5:$BC$25,0)</f>
        <v>20</v>
      </c>
      <c r="BE20" s="22">
        <f t="shared" si="23"/>
        <v>0.0102223957220934</v>
      </c>
      <c r="BF20" s="29">
        <f>VLOOKUP(B20,[5]市州营业收现率202412完成!$B$1:$AH$28,6,0)</f>
        <v>71374.293774</v>
      </c>
      <c r="BG20" s="29">
        <f>VLOOKUP(B20,[4]市州营业收现率12月完成!$B$1:$AI$28,7,0)</f>
        <v>79515.5183072697</v>
      </c>
      <c r="BH20" s="22">
        <f>VLOOKUP(B20,[5]市州营业收现率202412完成!$B$1:$AH$28,5,0)</f>
        <v>0.970851703616927</v>
      </c>
      <c r="BI20" s="22">
        <f>VLOOKUP(B20,[4]市州营业收现率12月完成!$B$1:$AI$28,5,0)</f>
        <v>1.06353304723367</v>
      </c>
      <c r="BJ20" s="54">
        <f>RANK(BI20,$BI$5:$BI$25,0)</f>
        <v>7</v>
      </c>
    </row>
    <row r="21" s="1" customFormat="1" ht="15" customHeight="1" spans="1:62">
      <c r="A21" s="10">
        <v>17</v>
      </c>
      <c r="B21" s="10" t="s">
        <v>76</v>
      </c>
      <c r="C21" s="11">
        <v>63487.432849</v>
      </c>
      <c r="D21" s="11">
        <v>7294.938073</v>
      </c>
      <c r="E21" s="12">
        <f>VLOOKUP(B21,[6]Sheet1!$A$2:$I$24,5,0)</f>
        <v>61742.007236564</v>
      </c>
      <c r="F21" s="12">
        <f>VLOOKUP(B21,[6]Sheet1!$A$2:$I$24,7,0)</f>
        <v>4113.30143756403</v>
      </c>
      <c r="G21" s="13">
        <f t="shared" si="0"/>
        <v>-0.0274924584931219</v>
      </c>
      <c r="H21" s="13">
        <f t="shared" si="1"/>
        <v>-0.436143062983884</v>
      </c>
      <c r="I21" s="21">
        <f>VLOOKUP(B21,[3]计算结果表!$B$1:$P$29,2,0)</f>
        <v>2292.611454</v>
      </c>
      <c r="J21" s="21">
        <f>VLOOKUP(B21,[2]计算结果表!$B$1:$R$30,13,0)</f>
        <v>3908.321903</v>
      </c>
      <c r="K21" s="22">
        <f t="shared" si="2"/>
        <v>0.704746740308312</v>
      </c>
      <c r="L21" s="22">
        <f t="shared" si="3"/>
        <v>0.0361112640898995</v>
      </c>
      <c r="M21" s="22">
        <f t="shared" si="4"/>
        <v>0.0633008558990526</v>
      </c>
      <c r="N21" s="23">
        <f>RANK(M21,$M$5:$M$25,1)</f>
        <v>2</v>
      </c>
      <c r="O21" s="22">
        <f t="shared" si="5"/>
        <v>0.0271895918091531</v>
      </c>
      <c r="P21" s="21">
        <f>VLOOKUP(B21,[3]计算结果表!$B$1:$P$29,13,0)</f>
        <v>1891.456069</v>
      </c>
      <c r="Q21" s="21">
        <f>VLOOKUP(B21,[2]计算结果表!$B$1:$R$30,15,0)</f>
        <v>3133.511334</v>
      </c>
      <c r="R21" s="22">
        <f t="shared" si="6"/>
        <v>0.656666197728116</v>
      </c>
      <c r="S21" s="22">
        <f t="shared" si="7"/>
        <v>0.259283361979542</v>
      </c>
      <c r="T21" s="22">
        <f t="shared" si="8"/>
        <v>0.761799586430437</v>
      </c>
      <c r="U21" s="23">
        <f>RANK(T21,$T$5:$T$25,1)</f>
        <v>19</v>
      </c>
      <c r="V21" s="22">
        <f t="shared" si="9"/>
        <v>0.502516224450895</v>
      </c>
      <c r="W21" s="29">
        <f>VLOOKUP(B21,[2]计算结果表!$V$1:$Z$25,2,0)+VLOOKUP(B21,[2]计算结果表!$V$1:$Z$25,4,0)</f>
        <v>344.589292</v>
      </c>
      <c r="X21" s="29">
        <f>VLOOKUP(B21,[2]计算结果表!$V$1:$Z$25,3,0)+VLOOKUP(B21,[2]计算结果表!$V$1:$Z$25,5,0)+VLOOKUP(B21,[2]计算结果表!$B$1:$R$28,5,0)</f>
        <v>2788.922042</v>
      </c>
      <c r="Y21" s="29">
        <f>VLOOKUP(B21,[6]Sheet1!$A$2:$I$24,8,0)</f>
        <v>1962.23594656403</v>
      </c>
      <c r="Z21" s="29">
        <f>VLOOKUP(B21,[6]Sheet1!$A$2:$I$24,9,0)</f>
        <v>2151.065491</v>
      </c>
      <c r="AA21" s="22">
        <f t="shared" si="10"/>
        <v>0.175610528694774</v>
      </c>
      <c r="AB21" s="23">
        <f>RANK(AA21,$AA$5:$AA$25,1)</f>
        <v>8</v>
      </c>
      <c r="AC21" s="22">
        <f t="shared" si="11"/>
        <v>1.29653051181788</v>
      </c>
      <c r="AD21" s="23">
        <f>RANK(AC21,$AC$5:$AC$25,1)</f>
        <v>19</v>
      </c>
      <c r="AE21" s="35">
        <f>VLOOKUP(B21,[3]计算结果表!$B$1:$P$29,14,0)</f>
        <v>1214.032381</v>
      </c>
      <c r="AF21" s="35">
        <f>VLOOKUP(B21,[2]计算结果表!$B$1:$R$30,16,0)</f>
        <v>774.810569</v>
      </c>
      <c r="AG21" s="13">
        <f t="shared" si="12"/>
        <v>-0.361787559272688</v>
      </c>
      <c r="AH21" s="13">
        <f t="shared" si="13"/>
        <v>0.0216048848843514</v>
      </c>
      <c r="AI21" s="13">
        <f t="shared" si="14"/>
        <v>0.0134448719307079</v>
      </c>
      <c r="AJ21" s="23">
        <f>RANK(AI21,$AI$5:$AI$25,1)</f>
        <v>3</v>
      </c>
      <c r="AK21" s="13">
        <f t="shared" si="15"/>
        <v>-0.00816001295364347</v>
      </c>
      <c r="AL21" s="21">
        <v>410.801428</v>
      </c>
      <c r="AM21" s="21">
        <f>VLOOKUP(B21,[1]Sheet1!$B$28:$F$52,4,0)</f>
        <v>688.799584</v>
      </c>
      <c r="AN21" s="22">
        <f t="shared" si="16"/>
        <v>0.676721493772412</v>
      </c>
      <c r="AO21" s="23">
        <f>RANK(AN21,$AN$5:$AN$25,1)</f>
        <v>7</v>
      </c>
      <c r="AP21" s="22">
        <f t="shared" si="17"/>
        <v>0.179184932223583</v>
      </c>
      <c r="AQ21" s="22" t="e">
        <f>AM21/#REF!</f>
        <v>#REF!</v>
      </c>
      <c r="AR21" s="23" t="e">
        <f>RANK(AQ21,$AQ$5:$AQ$25,1)</f>
        <v>#REF!</v>
      </c>
      <c r="AS21" s="42">
        <v>231.903634</v>
      </c>
      <c r="AT21" s="42">
        <f>VLOOKUP(B21,[1]Sheet1!$B$28:$F$52,2,0)</f>
        <v>447.954282</v>
      </c>
      <c r="AU21" s="43">
        <f t="shared" si="18"/>
        <v>0.142956011404681</v>
      </c>
      <c r="AV21" s="44">
        <f>RANK(AU21,$AU$5:$AU$25,1)</f>
        <v>11</v>
      </c>
      <c r="AW21" s="49">
        <f t="shared" si="19"/>
        <v>0.93163976895679</v>
      </c>
      <c r="AX21" s="50">
        <f>RANK(AW21,$AW$5:$AW$25,1)</f>
        <v>10</v>
      </c>
      <c r="AY21" s="21">
        <f>VLOOKUP(B21,[3]计算结果表!$B$1:$P$29,15,0)</f>
        <v>3614.962053</v>
      </c>
      <c r="AZ21" s="21">
        <f>VLOOKUP(B21,[2]计算结果表!$B$1:$R$30,17,0)</f>
        <v>4751.56036</v>
      </c>
      <c r="BA21" s="22">
        <f t="shared" si="20"/>
        <v>0.314415003625489</v>
      </c>
      <c r="BB21" s="22">
        <f t="shared" si="21"/>
        <v>0.0569398051043883</v>
      </c>
      <c r="BC21" s="22">
        <f t="shared" si="22"/>
        <v>0.0769583071990911</v>
      </c>
      <c r="BD21" s="23">
        <f>RANK(BC21,$BC$5:$BC$25,0)</f>
        <v>11</v>
      </c>
      <c r="BE21" s="22">
        <f t="shared" si="23"/>
        <v>0.0200185020947028</v>
      </c>
      <c r="BF21" s="29">
        <f>VLOOKUP(B21,[5]市州营业收现率202412完成!$B$1:$AH$28,6,0)</f>
        <v>62729.285128</v>
      </c>
      <c r="BG21" s="29">
        <f>VLOOKUP(B21,[4]市州营业收现率12月完成!$B$1:$AI$28,7,0)</f>
        <v>65740.965988564</v>
      </c>
      <c r="BH21" s="22">
        <f>VLOOKUP(B21,[5]市州营业收现率202412完成!$B$1:$AH$28,5,0)</f>
        <v>0.988058302454862</v>
      </c>
      <c r="BI21" s="22">
        <f>VLOOKUP(B21,[4]市州营业收现率12月完成!$B$1:$AI$28,5,0)</f>
        <v>1.06476884913505</v>
      </c>
      <c r="BJ21" s="54">
        <f>RANK(BI21,$BI$5:$BI$25,0)</f>
        <v>6</v>
      </c>
    </row>
    <row r="22" s="1" customFormat="1" ht="15" customHeight="1" spans="1:62">
      <c r="A22" s="10">
        <v>18</v>
      </c>
      <c r="B22" s="10" t="s">
        <v>77</v>
      </c>
      <c r="C22" s="11">
        <v>57645.487392</v>
      </c>
      <c r="D22" s="11">
        <v>15646.131085</v>
      </c>
      <c r="E22" s="12">
        <f>VLOOKUP(B22,[6]Sheet1!$A$2:$I$24,5,0)</f>
        <v>57221.629940173</v>
      </c>
      <c r="F22" s="12">
        <f>VLOOKUP(B22,[6]Sheet1!$A$2:$I$24,7,0)</f>
        <v>16455.209782173</v>
      </c>
      <c r="G22" s="13">
        <f t="shared" si="0"/>
        <v>-0.00735282970104312</v>
      </c>
      <c r="H22" s="13">
        <f t="shared" si="1"/>
        <v>0.05171110306935</v>
      </c>
      <c r="I22" s="21">
        <f>VLOOKUP(B22,[3]计算结果表!$B$1:$P$29,2,0)</f>
        <v>3356.563978</v>
      </c>
      <c r="J22" s="21">
        <f>VLOOKUP(B22,[2]计算结果表!$B$1:$R$30,13,0)</f>
        <v>7409.927229</v>
      </c>
      <c r="K22" s="22">
        <f t="shared" si="2"/>
        <v>1.20759302595364</v>
      </c>
      <c r="L22" s="22">
        <f t="shared" si="3"/>
        <v>0.0582276970819024</v>
      </c>
      <c r="M22" s="22">
        <f t="shared" si="4"/>
        <v>0.12949521425285</v>
      </c>
      <c r="N22" s="23">
        <f>RANK(M22,$M$5:$M$25,1)</f>
        <v>20</v>
      </c>
      <c r="O22" s="22">
        <f t="shared" si="5"/>
        <v>0.0712675171709476</v>
      </c>
      <c r="P22" s="21">
        <f>VLOOKUP(B22,[3]计算结果表!$B$1:$P$29,13,0)</f>
        <v>2694.766052</v>
      </c>
      <c r="Q22" s="21">
        <f>VLOOKUP(B22,[2]计算结果表!$B$1:$R$30,15,0)</f>
        <v>5407.410397</v>
      </c>
      <c r="R22" s="22">
        <f t="shared" si="6"/>
        <v>1.00663445087811</v>
      </c>
      <c r="S22" s="22">
        <f t="shared" si="7"/>
        <v>0.172232102451416</v>
      </c>
      <c r="T22" s="22">
        <f t="shared" si="8"/>
        <v>0.328613883905521</v>
      </c>
      <c r="U22" s="23">
        <f>RANK(T22,$T$5:$T$25,1)</f>
        <v>3</v>
      </c>
      <c r="V22" s="22">
        <f t="shared" si="9"/>
        <v>0.156381781454105</v>
      </c>
      <c r="W22" s="29">
        <f>VLOOKUP(B22,[2]计算结果表!$V$1:$Z$25,2,0)+VLOOKUP(B22,[2]计算结果表!$V$1:$Z$25,4,0)</f>
        <v>2847.99515</v>
      </c>
      <c r="X22" s="29">
        <f>VLOOKUP(B22,[2]计算结果表!$V$1:$Z$25,3,0)+VLOOKUP(B22,[2]计算结果表!$V$1:$Z$25,5,0)+VLOOKUP(B22,[2]计算结果表!$B$1:$R$28,5,0)</f>
        <v>2559.415247</v>
      </c>
      <c r="Y22" s="29">
        <f>VLOOKUP(B22,[6]Sheet1!$A$2:$I$24,8,0)</f>
        <v>8251.94500717298</v>
      </c>
      <c r="Z22" s="29">
        <f>VLOOKUP(B22,[6]Sheet1!$A$2:$I$24,9,0)</f>
        <v>8203.264775</v>
      </c>
      <c r="AA22" s="22">
        <f t="shared" si="10"/>
        <v>0.345130165982006</v>
      </c>
      <c r="AB22" s="23">
        <f>RANK(AA22,$AA$5:$AA$25,1)</f>
        <v>19</v>
      </c>
      <c r="AC22" s="22">
        <f t="shared" si="11"/>
        <v>0.311999590065652</v>
      </c>
      <c r="AD22" s="23">
        <f>RANK(AC22,$AC$5:$AC$25,1)</f>
        <v>2</v>
      </c>
      <c r="AE22" s="35">
        <f>VLOOKUP(B22,[3]计算结果表!$B$1:$P$29,14,0)</f>
        <v>1710.567051</v>
      </c>
      <c r="AF22" s="35">
        <f>VLOOKUP(B22,[2]计算结果表!$B$1:$R$30,16,0)</f>
        <v>2002.516832</v>
      </c>
      <c r="AG22" s="13">
        <f t="shared" si="12"/>
        <v>0.170674268997129</v>
      </c>
      <c r="AH22" s="13">
        <f t="shared" si="13"/>
        <v>0.0407284111331702</v>
      </c>
      <c r="AI22" s="13">
        <f t="shared" si="14"/>
        <v>0.0491217238167778</v>
      </c>
      <c r="AJ22" s="23">
        <f>RANK(AI22,$AI$5:$AI$25,1)</f>
        <v>20</v>
      </c>
      <c r="AK22" s="13">
        <f t="shared" si="15"/>
        <v>0.00839331268360761</v>
      </c>
      <c r="AL22" s="21">
        <v>1105.977936</v>
      </c>
      <c r="AM22" s="21">
        <f>VLOOKUP(B22,[1]Sheet1!$B$28:$F$52,4,0)</f>
        <v>1083.155936</v>
      </c>
      <c r="AN22" s="22">
        <f t="shared" si="16"/>
        <v>-0.0206351313684796</v>
      </c>
      <c r="AO22" s="23">
        <f>RANK(AN22,$AN$5:$AN$25,1)</f>
        <v>3</v>
      </c>
      <c r="AP22" s="22">
        <f t="shared" si="17"/>
        <v>0.329497052119052</v>
      </c>
      <c r="AQ22" s="22" t="e">
        <f>AM22/#REF!</f>
        <v>#REF!</v>
      </c>
      <c r="AR22" s="23" t="e">
        <f>RANK(AQ22,$AQ$5:$AQ$25,1)</f>
        <v>#REF!</v>
      </c>
      <c r="AS22" s="42">
        <v>403.945241</v>
      </c>
      <c r="AT22" s="42">
        <f>VLOOKUP(B22,[1]Sheet1!$B$28:$F$52,2,0)</f>
        <v>645.257695</v>
      </c>
      <c r="AU22" s="43">
        <f t="shared" si="18"/>
        <v>0.119328411869383</v>
      </c>
      <c r="AV22" s="44">
        <f>RANK(AU22,$AU$5:$AU$25,1)</f>
        <v>5</v>
      </c>
      <c r="AW22" s="49">
        <f t="shared" si="19"/>
        <v>0.597389025806099</v>
      </c>
      <c r="AX22" s="50">
        <f>RANK(AW22,$AW$5:$AW$25,1)</f>
        <v>7</v>
      </c>
      <c r="AY22" s="21">
        <f>VLOOKUP(B22,[3]计算结果表!$B$1:$P$29,15,0)</f>
        <v>6333.527486</v>
      </c>
      <c r="AZ22" s="21">
        <f>VLOOKUP(B22,[2]计算结果表!$B$1:$R$30,17,0)</f>
        <v>7133.749592</v>
      </c>
      <c r="BA22" s="22">
        <f t="shared" si="20"/>
        <v>0.126346985588814</v>
      </c>
      <c r="BB22" s="22">
        <f t="shared" si="21"/>
        <v>0.109870308545244</v>
      </c>
      <c r="BC22" s="22">
        <f t="shared" si="22"/>
        <v>0.124668758989539</v>
      </c>
      <c r="BD22" s="23">
        <f>RANK(BC22,$BC$5:$BC$25,0)</f>
        <v>2</v>
      </c>
      <c r="BE22" s="22">
        <f t="shared" si="23"/>
        <v>0.0147984504442947</v>
      </c>
      <c r="BF22" s="29">
        <f>VLOOKUP(B22,[5]市州营业收现率202412完成!$B$1:$AH$28,6,0)</f>
        <v>55078.813503</v>
      </c>
      <c r="BG22" s="29">
        <f>VLOOKUP(B22,[4]市州营业收现率12月完成!$B$1:$AI$28,7,0)</f>
        <v>57243.266441173</v>
      </c>
      <c r="BH22" s="22">
        <f>VLOOKUP(B22,[5]市州营业收现率202412完成!$B$1:$AH$28,5,0)</f>
        <v>0.955474851456348</v>
      </c>
      <c r="BI22" s="22">
        <f>VLOOKUP(B22,[4]市州营业收现率12月完成!$B$1:$AI$28,5,0)</f>
        <v>1.00037811752344</v>
      </c>
      <c r="BJ22" s="54">
        <f>RANK(BI22,$BI$5:$BI$25,0)</f>
        <v>19</v>
      </c>
    </row>
    <row r="23" s="1" customFormat="1" ht="15" customHeight="1" spans="1:62">
      <c r="A23" s="10">
        <v>19</v>
      </c>
      <c r="B23" s="10" t="s">
        <v>78</v>
      </c>
      <c r="C23" s="11">
        <v>54011.8654196038</v>
      </c>
      <c r="D23" s="11">
        <v>8952.76646760377</v>
      </c>
      <c r="E23" s="12">
        <f>VLOOKUP(B23,[6]Sheet1!$A$2:$I$24,5,0)</f>
        <v>55656.4640550355</v>
      </c>
      <c r="F23" s="12">
        <f>VLOOKUP(B23,[6]Sheet1!$A$2:$I$24,7,0)</f>
        <v>10789.5396620355</v>
      </c>
      <c r="G23" s="13">
        <f t="shared" si="0"/>
        <v>0.0304488397624347</v>
      </c>
      <c r="H23" s="13">
        <f t="shared" si="1"/>
        <v>0.205162638953917</v>
      </c>
      <c r="I23" s="21">
        <f>VLOOKUP(B23,[3]计算结果表!$B$1:$P$29,2,0)</f>
        <v>2009.350248</v>
      </c>
      <c r="J23" s="21">
        <f>VLOOKUP(B23,[2]计算结果表!$B$1:$R$30,13,0)</f>
        <v>2416.710638</v>
      </c>
      <c r="K23" s="22">
        <f t="shared" si="2"/>
        <v>0.202732395910302</v>
      </c>
      <c r="L23" s="22">
        <f t="shared" si="3"/>
        <v>0.0372020153792115</v>
      </c>
      <c r="M23" s="22">
        <f t="shared" si="4"/>
        <v>0.0434219219462137</v>
      </c>
      <c r="N23" s="23">
        <f>RANK(M23,$M$5:$M$25,1)</f>
        <v>1</v>
      </c>
      <c r="O23" s="22">
        <f t="shared" si="5"/>
        <v>0.0062199065670022</v>
      </c>
      <c r="P23" s="21">
        <f>VLOOKUP(B23,[3]计算结果表!$B$1:$P$29,13,0)</f>
        <v>1104.812754</v>
      </c>
      <c r="Q23" s="21">
        <f>VLOOKUP(B23,[2]计算结果表!$B$1:$R$30,15,0)</f>
        <v>1634.011767</v>
      </c>
      <c r="R23" s="22">
        <f t="shared" si="6"/>
        <v>0.478994301146527</v>
      </c>
      <c r="S23" s="22">
        <f t="shared" si="7"/>
        <v>0.123404621129999</v>
      </c>
      <c r="T23" s="22">
        <f t="shared" si="8"/>
        <v>0.15144406695584</v>
      </c>
      <c r="U23" s="23">
        <f>RANK(T23,$T$5:$T$25,1)</f>
        <v>1</v>
      </c>
      <c r="V23" s="22">
        <f t="shared" si="9"/>
        <v>0.0280394458258414</v>
      </c>
      <c r="W23" s="29">
        <f>VLOOKUP(B23,[2]计算结果表!$V$1:$Z$25,2,0)+VLOOKUP(B23,[2]计算结果表!$V$1:$Z$25,4,0)</f>
        <v>1335.804914</v>
      </c>
      <c r="X23" s="29">
        <f>VLOOKUP(B23,[2]计算结果表!$V$1:$Z$25,3,0)+VLOOKUP(B23,[2]计算结果表!$V$1:$Z$25,5,0)+VLOOKUP(B23,[2]计算结果表!$B$1:$R$28,5,0)</f>
        <v>298.206853</v>
      </c>
      <c r="Y23" s="29">
        <f>VLOOKUP(B23,[6]Sheet1!$A$2:$I$24,8,0)</f>
        <v>3601.41631303552</v>
      </c>
      <c r="Z23" s="29">
        <f>VLOOKUP(B23,[6]Sheet1!$A$2:$I$24,9,0)</f>
        <v>7188.123349</v>
      </c>
      <c r="AA23" s="22">
        <f t="shared" si="10"/>
        <v>0.370910996644565</v>
      </c>
      <c r="AB23" s="23">
        <f>RANK(AA23,$AA$5:$AA$25,1)</f>
        <v>20</v>
      </c>
      <c r="AC23" s="22">
        <f t="shared" si="11"/>
        <v>0.0414860511598603</v>
      </c>
      <c r="AD23" s="23">
        <f>RANK(AC23,$AC$5:$AC$25,1)</f>
        <v>1</v>
      </c>
      <c r="AE23" s="35">
        <f>VLOOKUP(B23,[3]计算结果表!$B$1:$P$29,14,0)</f>
        <v>1215.782863</v>
      </c>
      <c r="AF23" s="35">
        <f>VLOOKUP(B23,[2]计算结果表!$B$1:$R$30,16,0)</f>
        <v>782.698871</v>
      </c>
      <c r="AG23" s="13">
        <f t="shared" si="12"/>
        <v>-0.356218207362576</v>
      </c>
      <c r="AH23" s="13">
        <f t="shared" si="13"/>
        <v>0.0269819612747945</v>
      </c>
      <c r="AI23" s="13">
        <f t="shared" si="14"/>
        <v>0.0174448969165828</v>
      </c>
      <c r="AJ23" s="23">
        <f>RANK(AI23,$AI$5:$AI$25,1)</f>
        <v>4</v>
      </c>
      <c r="AK23" s="13">
        <f t="shared" si="15"/>
        <v>-0.00953706435821168</v>
      </c>
      <c r="AL23" s="21">
        <v>174.765671</v>
      </c>
      <c r="AM23" s="21">
        <f>VLOOKUP(B23,[1]Sheet1!$B$28:$F$52,4,0)</f>
        <v>302.866914</v>
      </c>
      <c r="AN23" s="22">
        <f t="shared" si="16"/>
        <v>0.732988591334965</v>
      </c>
      <c r="AO23" s="23">
        <f>RANK(AN23,$AN$5:$AN$25,1)</f>
        <v>8</v>
      </c>
      <c r="AP23" s="22">
        <f t="shared" si="17"/>
        <v>0.0869762109288574</v>
      </c>
      <c r="AQ23" s="22" t="e">
        <f>AM23/#REF!</f>
        <v>#REF!</v>
      </c>
      <c r="AR23" s="23" t="e">
        <f>RANK(AQ23,$AQ$5:$AQ$25,1)</f>
        <v>#REF!</v>
      </c>
      <c r="AS23" s="42">
        <v>156.407518</v>
      </c>
      <c r="AT23" s="42">
        <f>VLOOKUP(B23,[1]Sheet1!$B$28:$F$52,2,0)</f>
        <v>179.540369</v>
      </c>
      <c r="AU23" s="43">
        <f t="shared" si="18"/>
        <v>0.109877035542792</v>
      </c>
      <c r="AV23" s="44">
        <f>RANK(AU23,$AU$5:$AU$25,1)</f>
        <v>3</v>
      </c>
      <c r="AW23" s="49">
        <f t="shared" si="19"/>
        <v>0.14790114500762</v>
      </c>
      <c r="AX23" s="50">
        <f>RANK(AW23,$AW$5:$AW$25,1)</f>
        <v>5</v>
      </c>
      <c r="AY23" s="21">
        <f>VLOOKUP(B23,[3]计算结果表!$B$1:$P$29,15,0)</f>
        <v>4301.646157</v>
      </c>
      <c r="AZ23" s="21">
        <f>VLOOKUP(B23,[2]计算结果表!$B$1:$R$30,17,0)</f>
        <v>4537.39066</v>
      </c>
      <c r="BA23" s="22">
        <f t="shared" si="20"/>
        <v>0.0548033228201201</v>
      </c>
      <c r="BB23" s="22">
        <f t="shared" si="21"/>
        <v>0.0796426141474962</v>
      </c>
      <c r="BC23" s="22">
        <f t="shared" si="22"/>
        <v>0.0815249537863784</v>
      </c>
      <c r="BD23" s="23">
        <f>RANK(BC23,$BC$5:$BC$25,0)</f>
        <v>10</v>
      </c>
      <c r="BE23" s="22">
        <f t="shared" si="23"/>
        <v>0.00188233963888221</v>
      </c>
      <c r="BF23" s="29">
        <f>VLOOKUP(B23,[5]市州营业收现率202412完成!$B$1:$AH$28,6,0)</f>
        <v>61699.95018</v>
      </c>
      <c r="BG23" s="29">
        <f>VLOOKUP(B23,[4]市州营业收现率12月完成!$B$1:$AI$28,7,0)</f>
        <v>59693.6430450355</v>
      </c>
      <c r="BH23" s="22">
        <f>VLOOKUP(B23,[5]市州营业收现率202412完成!$B$1:$AH$28,5,0)</f>
        <v>1.14234066349439</v>
      </c>
      <c r="BI23" s="22">
        <f>VLOOKUP(B23,[4]市州营业收现率12月完成!$B$1:$AI$28,5,0)</f>
        <v>1.07253746817275</v>
      </c>
      <c r="BJ23" s="54">
        <f>RANK(BI23,$BI$5:$BI$25,0)</f>
        <v>4</v>
      </c>
    </row>
    <row r="24" s="1" customFormat="1" ht="15" customHeight="1" spans="1:62">
      <c r="A24" s="10">
        <v>20</v>
      </c>
      <c r="B24" s="10" t="s">
        <v>79</v>
      </c>
      <c r="C24" s="11">
        <v>41224.99207</v>
      </c>
      <c r="D24" s="11">
        <v>6894.761928</v>
      </c>
      <c r="E24" s="12">
        <f>VLOOKUP(B24,[6]Sheet1!$A$2:$I$24,5,0)</f>
        <v>43837.1132383559</v>
      </c>
      <c r="F24" s="12">
        <f>VLOOKUP(B24,[6]Sheet1!$A$2:$I$24,7,0)</f>
        <v>8900.75600535587</v>
      </c>
      <c r="G24" s="13">
        <f t="shared" si="0"/>
        <v>0.0633625632703707</v>
      </c>
      <c r="H24" s="13">
        <f t="shared" si="1"/>
        <v>0.290944647299484</v>
      </c>
      <c r="I24" s="21">
        <f>VLOOKUP(B24,[3]计算结果表!$B$1:$P$29,2,0)</f>
        <v>2772.827918</v>
      </c>
      <c r="J24" s="21">
        <f>VLOOKUP(B24,[2]计算结果表!$B$1:$R$30,13,0)</f>
        <v>4676.647814</v>
      </c>
      <c r="K24" s="22">
        <f t="shared" si="2"/>
        <v>0.6865986466889</v>
      </c>
      <c r="L24" s="22">
        <f t="shared" si="3"/>
        <v>0.0672608478199763</v>
      </c>
      <c r="M24" s="22">
        <f t="shared" si="4"/>
        <v>0.106682385506811</v>
      </c>
      <c r="N24" s="23">
        <f>RANK(M24,$M$5:$M$25,1)</f>
        <v>17</v>
      </c>
      <c r="O24" s="22">
        <f t="shared" si="5"/>
        <v>0.0394215376868347</v>
      </c>
      <c r="P24" s="21">
        <f>VLOOKUP(B24,[3]计算结果表!$B$1:$P$29,13,0)</f>
        <v>1788.016067</v>
      </c>
      <c r="Q24" s="21">
        <f>VLOOKUP(B24,[2]计算结果表!$B$1:$R$30,15,0)</f>
        <v>2982.89581</v>
      </c>
      <c r="R24" s="22">
        <f t="shared" si="6"/>
        <v>0.668271256088215</v>
      </c>
      <c r="S24" s="22">
        <f t="shared" si="7"/>
        <v>0.259329631054956</v>
      </c>
      <c r="T24" s="22">
        <f t="shared" si="8"/>
        <v>0.335128365298981</v>
      </c>
      <c r="U24" s="23">
        <f>RANK(T24,$T$5:$T$25,1)</f>
        <v>4</v>
      </c>
      <c r="V24" s="22">
        <f t="shared" si="9"/>
        <v>0.0757987342440249</v>
      </c>
      <c r="W24" s="29">
        <f>VLOOKUP(B24,[2]计算结果表!$V$1:$Z$25,2,0)+VLOOKUP(B24,[2]计算结果表!$V$1:$Z$25,4,0)</f>
        <v>1146.186935</v>
      </c>
      <c r="X24" s="29">
        <f>VLOOKUP(B24,[2]计算结果表!$V$1:$Z$25,3,0)+VLOOKUP(B24,[2]计算结果表!$V$1:$Z$25,5,0)+VLOOKUP(B24,[2]计算结果表!$B$1:$R$28,5,0)</f>
        <v>1836.708875</v>
      </c>
      <c r="Y24" s="29">
        <f>VLOOKUP(B24,[6]Sheet1!$A$2:$I$24,8,0)</f>
        <v>5147.01182835587</v>
      </c>
      <c r="Z24" s="29">
        <f>VLOOKUP(B24,[6]Sheet1!$A$2:$I$24,9,0)</f>
        <v>3753.744177</v>
      </c>
      <c r="AA24" s="22">
        <f t="shared" si="10"/>
        <v>0.222689780638435</v>
      </c>
      <c r="AB24" s="23">
        <f>RANK(AA24,$AA$5:$AA$25,1)</f>
        <v>11</v>
      </c>
      <c r="AC24" s="22">
        <f t="shared" si="11"/>
        <v>0.489300492626512</v>
      </c>
      <c r="AD24" s="23">
        <f>RANK(AC24,$AC$5:$AC$25,1)</f>
        <v>4</v>
      </c>
      <c r="AE24" s="35">
        <f>VLOOKUP(B24,[3]计算结果表!$B$1:$P$29,14,0)</f>
        <v>1367.731851</v>
      </c>
      <c r="AF24" s="35">
        <f>VLOOKUP(B24,[2]计算结果表!$B$1:$R$30,16,0)</f>
        <v>1693.752004</v>
      </c>
      <c r="AG24" s="13">
        <f t="shared" si="12"/>
        <v>0.238365548599043</v>
      </c>
      <c r="AH24" s="13">
        <f t="shared" si="13"/>
        <v>0.0398404509769569</v>
      </c>
      <c r="AI24" s="13">
        <f t="shared" si="14"/>
        <v>0.0484810706709892</v>
      </c>
      <c r="AJ24" s="23">
        <f>RANK(AI24,$AI$5:$AI$25,1)</f>
        <v>19</v>
      </c>
      <c r="AK24" s="13">
        <f t="shared" si="15"/>
        <v>0.00864061969403233</v>
      </c>
      <c r="AL24" s="21">
        <v>310.860191</v>
      </c>
      <c r="AM24" s="21">
        <f>VLOOKUP(B24,[1]Sheet1!$B$28:$F$52,4,0)</f>
        <v>894.298962</v>
      </c>
      <c r="AN24" s="22">
        <f t="shared" si="16"/>
        <v>1.87685264273675</v>
      </c>
      <c r="AO24" s="23">
        <f>RANK(AN24,$AN$5:$AN$25,1)</f>
        <v>18</v>
      </c>
      <c r="AP24" s="22">
        <f t="shared" si="17"/>
        <v>0.112109442126585</v>
      </c>
      <c r="AQ24" s="22" t="e">
        <f>AM24/#REF!</f>
        <v>#REF!</v>
      </c>
      <c r="AR24" s="23" t="e">
        <f>RANK(AQ24,$AQ$5:$AQ$25,1)</f>
        <v>#REF!</v>
      </c>
      <c r="AS24" s="42">
        <v>219.25353</v>
      </c>
      <c r="AT24" s="42">
        <f>VLOOKUP(B24,[1]Sheet1!$B$28:$F$52,2,0)</f>
        <v>337.461002</v>
      </c>
      <c r="AU24" s="43">
        <f t="shared" si="18"/>
        <v>0.113132011137861</v>
      </c>
      <c r="AV24" s="44">
        <f>RANK(AU24,$AU$5:$AU$25,1)</f>
        <v>4</v>
      </c>
      <c r="AW24" s="49">
        <f t="shared" si="19"/>
        <v>0.539136003876425</v>
      </c>
      <c r="AX24" s="50">
        <f>RANK(AW24,$AW$5:$AW$25,1)</f>
        <v>6</v>
      </c>
      <c r="AY24" s="21">
        <f>VLOOKUP(B24,[3]计算结果表!$B$1:$P$29,15,0)</f>
        <v>7348.168397</v>
      </c>
      <c r="AZ24" s="21">
        <f>VLOOKUP(B24,[2]计算结果表!$B$1:$R$30,17,0)</f>
        <v>6984.070732</v>
      </c>
      <c r="BA24" s="22">
        <f t="shared" si="20"/>
        <v>-0.049549444885973</v>
      </c>
      <c r="BB24" s="22">
        <f t="shared" si="21"/>
        <v>0.17824547751332</v>
      </c>
      <c r="BC24" s="22">
        <f t="shared" si="22"/>
        <v>0.159318673518155</v>
      </c>
      <c r="BD24" s="23">
        <f>RANK(BC24,$BC$5:$BC$25,0)</f>
        <v>1</v>
      </c>
      <c r="BE24" s="22">
        <f t="shared" si="23"/>
        <v>-0.0189268039951653</v>
      </c>
      <c r="BF24" s="29">
        <f>VLOOKUP(B24,[5]市州营业收现率202412完成!$B$1:$AH$28,6,0)</f>
        <v>44724.369862</v>
      </c>
      <c r="BG24" s="29">
        <f>VLOOKUP(B24,[4]市州营业收现率12月完成!$B$1:$AI$28,7,0)</f>
        <v>45042.1889513559</v>
      </c>
      <c r="BH24" s="22">
        <f>VLOOKUP(B24,[5]市州营业收现率202412完成!$B$1:$AH$28,5,0)</f>
        <v>1.08488486270799</v>
      </c>
      <c r="BI24" s="22">
        <f>VLOOKUP(B24,[4]市州营业收现率12月完成!$B$1:$AI$28,5,0)</f>
        <v>1.02748985104123</v>
      </c>
      <c r="BJ24" s="54">
        <f>RANK(BI24,$BI$5:$BI$25,0)</f>
        <v>15</v>
      </c>
    </row>
    <row r="25" s="1" customFormat="1" ht="15" customHeight="1" spans="1:62">
      <c r="A25" s="10">
        <v>21</v>
      </c>
      <c r="B25" s="10" t="s">
        <v>80</v>
      </c>
      <c r="C25" s="11">
        <v>39056.357676</v>
      </c>
      <c r="D25" s="11">
        <v>4575.090563</v>
      </c>
      <c r="E25" s="12">
        <f>VLOOKUP(B25,[6]Sheet1!$A$2:$I$24,5,0)</f>
        <v>41681.5980668821</v>
      </c>
      <c r="F25" s="12">
        <f>VLOOKUP(B25,[6]Sheet1!$A$2:$I$24,7,0)</f>
        <v>5590.13373888209</v>
      </c>
      <c r="G25" s="13">
        <f t="shared" si="0"/>
        <v>0.067216723399051</v>
      </c>
      <c r="H25" s="13">
        <f t="shared" si="1"/>
        <v>0.22186296902864</v>
      </c>
      <c r="I25" s="21">
        <f>VLOOKUP(B25,[3]计算结果表!$B$1:$P$29,2,0)</f>
        <v>4551.758531</v>
      </c>
      <c r="J25" s="21">
        <f>VLOOKUP(B25,[2]计算结果表!$B$1:$R$30,13,0)</f>
        <v>4138.846742</v>
      </c>
      <c r="K25" s="22">
        <f t="shared" si="2"/>
        <v>-0.090714783349741</v>
      </c>
      <c r="L25" s="22">
        <f t="shared" si="3"/>
        <v>0.116543344076272</v>
      </c>
      <c r="M25" s="22">
        <f t="shared" si="4"/>
        <v>0.0992967384637898</v>
      </c>
      <c r="N25" s="23">
        <f>RANK(M25,$M$5:$M$25,1)</f>
        <v>13</v>
      </c>
      <c r="O25" s="22">
        <f t="shared" si="5"/>
        <v>-0.0172466056124822</v>
      </c>
      <c r="P25" s="21">
        <f>VLOOKUP(B25,[3]计算结果表!$B$1:$P$29,13,0)</f>
        <v>2946.310648</v>
      </c>
      <c r="Q25" s="21">
        <f>VLOOKUP(B25,[2]计算结果表!$B$1:$R$30,15,0)</f>
        <v>2736.352294</v>
      </c>
      <c r="R25" s="22">
        <f t="shared" si="6"/>
        <v>-0.0712614449336912</v>
      </c>
      <c r="S25" s="22">
        <f t="shared" si="7"/>
        <v>0.6439895795348</v>
      </c>
      <c r="T25" s="22">
        <f t="shared" si="8"/>
        <v>0.489496749418953</v>
      </c>
      <c r="U25" s="23">
        <f>RANK(T25,$T$5:$T$25,1)</f>
        <v>10</v>
      </c>
      <c r="V25" s="22">
        <f t="shared" si="9"/>
        <v>-0.154492830115847</v>
      </c>
      <c r="W25" s="29">
        <f>VLOOKUP(B25,[2]计算结果表!$V$1:$Z$25,2,0)+VLOOKUP(B25,[2]计算结果表!$V$1:$Z$25,4,0)</f>
        <v>608.150469</v>
      </c>
      <c r="X25" s="29">
        <f>VLOOKUP(B25,[2]计算结果表!$V$1:$Z$25,3,0)+VLOOKUP(B25,[2]计算结果表!$V$1:$Z$25,5,0)+VLOOKUP(B25,[2]计算结果表!$B$1:$R$28,5,0)</f>
        <v>2128.201825</v>
      </c>
      <c r="Y25" s="29">
        <f>VLOOKUP(B25,[6]Sheet1!$A$2:$I$24,8,0)</f>
        <v>2118.10280388209</v>
      </c>
      <c r="Z25" s="29">
        <f>VLOOKUP(B25,[6]Sheet1!$A$2:$I$24,9,0)</f>
        <v>3472.030935</v>
      </c>
      <c r="AA25" s="22">
        <f t="shared" si="10"/>
        <v>0.287120373895626</v>
      </c>
      <c r="AB25" s="23">
        <f>RANK(AA25,$AA$5:$AA$25,1)</f>
        <v>13</v>
      </c>
      <c r="AC25" s="22">
        <f t="shared" si="11"/>
        <v>0.612955893781517</v>
      </c>
      <c r="AD25" s="23">
        <f>RANK(AC25,$AC$5:$AC$25,1)</f>
        <v>7</v>
      </c>
      <c r="AE25" s="35">
        <f>VLOOKUP(B25,[3]计算结果表!$B$1:$P$29,14,0)</f>
        <v>2228.344201</v>
      </c>
      <c r="AF25" s="35">
        <f>VLOOKUP(B25,[2]计算结果表!$B$1:$R$30,16,0)</f>
        <v>1402.494448</v>
      </c>
      <c r="AG25" s="13">
        <f t="shared" si="12"/>
        <v>-0.370611395057096</v>
      </c>
      <c r="AH25" s="13">
        <f t="shared" si="13"/>
        <v>0.0646247770912072</v>
      </c>
      <c r="AI25" s="13">
        <f t="shared" si="14"/>
        <v>0.0388594498481441</v>
      </c>
      <c r="AJ25" s="23">
        <f>RANK(AI25,$AI$5:$AI$25,1)</f>
        <v>15</v>
      </c>
      <c r="AK25" s="13">
        <f t="shared" si="15"/>
        <v>-0.0257653272430631</v>
      </c>
      <c r="AL25" s="21">
        <v>3170.012974</v>
      </c>
      <c r="AM25" s="21">
        <f>VLOOKUP(B25,[1]Sheet1!$B$28:$F$52,4,0)</f>
        <v>1635.439677</v>
      </c>
      <c r="AN25" s="22">
        <f t="shared" si="16"/>
        <v>-0.484090541454043</v>
      </c>
      <c r="AO25" s="23">
        <f>RANK(AN25,$AN$5:$AN$25,1)</f>
        <v>1</v>
      </c>
      <c r="AP25" s="22">
        <f t="shared" si="17"/>
        <v>0.696436981973111</v>
      </c>
      <c r="AQ25" s="22" t="e">
        <f>AM25/#REF!</f>
        <v>#REF!</v>
      </c>
      <c r="AR25" s="23" t="e">
        <f>RANK(AQ25,$AQ$5:$AQ$25,1)</f>
        <v>#REF!</v>
      </c>
      <c r="AS25" s="42">
        <v>1726.268402</v>
      </c>
      <c r="AT25" s="42">
        <f>VLOOKUP(B25,[1]Sheet1!$B$28:$F$52,2,0)</f>
        <v>829.561597</v>
      </c>
      <c r="AU25" s="43">
        <f t="shared" si="18"/>
        <v>0.303163302042277</v>
      </c>
      <c r="AV25" s="44">
        <f>RANK(AU25,$AU$5:$AU$25,1)</f>
        <v>19</v>
      </c>
      <c r="AW25" s="49">
        <f t="shared" si="19"/>
        <v>-0.51944807885095</v>
      </c>
      <c r="AX25" s="50">
        <f>RANK(AW25,$AW$5:$AW$25,1)</f>
        <v>2</v>
      </c>
      <c r="AY25" s="21">
        <f>VLOOKUP(B25,[3]计算结果表!$B$1:$P$29,15,0)</f>
        <v>4470.98636</v>
      </c>
      <c r="AZ25" s="21">
        <f>VLOOKUP(B25,[2]计算结果表!$B$1:$R$30,17,0)</f>
        <v>4145.122275</v>
      </c>
      <c r="BA25" s="22">
        <f t="shared" si="20"/>
        <v>-0.072884159950781</v>
      </c>
      <c r="BB25" s="22">
        <f t="shared" si="21"/>
        <v>0.114475251304537</v>
      </c>
      <c r="BC25" s="22">
        <f t="shared" si="22"/>
        <v>0.0994472973024872</v>
      </c>
      <c r="BD25" s="23">
        <f>RANK(BC25,$BC$5:$BC$25,0)</f>
        <v>4</v>
      </c>
      <c r="BE25" s="22">
        <f t="shared" si="23"/>
        <v>-0.0150279540020498</v>
      </c>
      <c r="BF25" s="29">
        <f>VLOOKUP(B25,[5]市州营业收现率202412完成!$B$1:$AH$28,6,0)</f>
        <v>41027.872298</v>
      </c>
      <c r="BG25" s="29">
        <f>VLOOKUP(B25,[4]市州营业收现率12月完成!$B$1:$AI$28,7,0)</f>
        <v>47134.4992888821</v>
      </c>
      <c r="BH25" s="22">
        <f>VLOOKUP(B25,[5]市州营业收现率202412完成!$B$1:$AH$28,5,0)</f>
        <v>1.05047871177223</v>
      </c>
      <c r="BI25" s="22">
        <f>VLOOKUP(B25,[4]市州营业收现率12月完成!$B$1:$AI$28,5,0)</f>
        <v>1.13082274852443</v>
      </c>
      <c r="BJ25" s="54">
        <f>RANK(BI25,$BI$5:$BI$25,0)</f>
        <v>1</v>
      </c>
    </row>
    <row r="26" s="2" customFormat="1" ht="15" customHeight="1" spans="1:62">
      <c r="A26" s="14">
        <v>22</v>
      </c>
      <c r="B26" s="14" t="s">
        <v>81</v>
      </c>
      <c r="C26" s="15">
        <f t="shared" ref="C26:F26" si="24">SUM(C5:C25)</f>
        <v>3042057.20563447</v>
      </c>
      <c r="D26" s="15">
        <f t="shared" si="24"/>
        <v>462938.614025472</v>
      </c>
      <c r="E26" s="15">
        <f t="shared" si="24"/>
        <v>3051811.98025629</v>
      </c>
      <c r="F26" s="15">
        <f t="shared" si="24"/>
        <v>429644.336208292</v>
      </c>
      <c r="G26" s="15"/>
      <c r="H26" s="15"/>
      <c r="I26" s="15">
        <f>SUM(I5:I25)</f>
        <v>159380.690731</v>
      </c>
      <c r="J26" s="15">
        <f>SUM(J5:J25)</f>
        <v>252748.693842</v>
      </c>
      <c r="K26" s="24">
        <f t="shared" si="2"/>
        <v>0.585817533370996</v>
      </c>
      <c r="L26" s="24">
        <f t="shared" si="3"/>
        <v>0.0523924042045614</v>
      </c>
      <c r="M26" s="22">
        <f t="shared" si="4"/>
        <v>0.0828192219825988</v>
      </c>
      <c r="N26" s="24"/>
      <c r="O26" s="24">
        <f t="shared" si="5"/>
        <v>0.0304268177780374</v>
      </c>
      <c r="P26" s="15">
        <f>SUM(P5:P25)</f>
        <v>119053.824454</v>
      </c>
      <c r="Q26" s="15">
        <f>SUM(Q5:Q25)</f>
        <v>181786.990407</v>
      </c>
      <c r="R26" s="30">
        <f t="shared" si="6"/>
        <v>0.52693112750224</v>
      </c>
      <c r="S26" s="24">
        <f t="shared" si="7"/>
        <v>0.257169786332512</v>
      </c>
      <c r="T26" s="24">
        <f t="shared" si="8"/>
        <v>0.42311040804427</v>
      </c>
      <c r="U26" s="24"/>
      <c r="V26" s="24">
        <f t="shared" si="9"/>
        <v>0.165940621711758</v>
      </c>
      <c r="W26" s="31">
        <f t="shared" ref="W26:Z26" si="25">SUM(W5:W25)</f>
        <v>29083.743164</v>
      </c>
      <c r="X26" s="31">
        <f t="shared" si="25"/>
        <v>152703.247243</v>
      </c>
      <c r="Y26" s="31">
        <f t="shared" si="25"/>
        <v>176691.033751292</v>
      </c>
      <c r="Z26" s="31">
        <f t="shared" si="25"/>
        <v>252953.302457</v>
      </c>
      <c r="AA26" s="24">
        <f>W26/(Y26/11*12)</f>
        <v>0.150885403375135</v>
      </c>
      <c r="AB26" s="24"/>
      <c r="AC26" s="24">
        <f>X26/(Z26/11*12)</f>
        <v>0.553374774236094</v>
      </c>
      <c r="AD26" s="24"/>
      <c r="AE26" s="31">
        <f>SUM(AE5:AE25)</f>
        <v>72281.950653</v>
      </c>
      <c r="AF26" s="31">
        <f>SUM(AF5:AF25)</f>
        <v>70961.703435</v>
      </c>
      <c r="AG26" s="30">
        <f t="shared" si="12"/>
        <v>-0.0182652405762826</v>
      </c>
      <c r="AH26" s="24">
        <f t="shared" si="13"/>
        <v>0.0280258344413339</v>
      </c>
      <c r="AI26" s="13">
        <f t="shared" si="14"/>
        <v>0.0270622298296123</v>
      </c>
      <c r="AJ26" s="24"/>
      <c r="AK26" s="24">
        <f t="shared" si="15"/>
        <v>-0.000963604611721611</v>
      </c>
      <c r="AL26" s="15">
        <f>SUM(AL5:AL25)</f>
        <v>26692.471244</v>
      </c>
      <c r="AM26" s="15">
        <f>SUM(AM5:AM25)</f>
        <v>49717.520648</v>
      </c>
      <c r="AN26" s="24">
        <f t="shared" si="16"/>
        <v>0.862604634599939</v>
      </c>
      <c r="AO26" s="24"/>
      <c r="AP26" s="24">
        <f t="shared" si="17"/>
        <v>0.167476192514758</v>
      </c>
      <c r="AQ26" s="24" t="e">
        <f>AM26/#REF!</f>
        <v>#REF!</v>
      </c>
      <c r="AR26" s="24"/>
      <c r="AS26" s="45">
        <f>SUM(AS5:AS25)</f>
        <v>18036.386474</v>
      </c>
      <c r="AT26" s="45">
        <f>SUM(AT5:AT25)</f>
        <v>33985.685822</v>
      </c>
      <c r="AU26" s="46">
        <f t="shared" si="18"/>
        <v>0.186953344383501</v>
      </c>
      <c r="AV26" s="46"/>
      <c r="AW26" s="51">
        <f t="shared" si="19"/>
        <v>0.884284630460286</v>
      </c>
      <c r="AX26" s="51"/>
      <c r="AY26" s="15">
        <f>SUM(AY5:AY25)</f>
        <v>247318.967943</v>
      </c>
      <c r="AZ26" s="15">
        <f>SUM(AZ5:AZ25)</f>
        <v>254765.162318</v>
      </c>
      <c r="BA26" s="30">
        <f t="shared" si="20"/>
        <v>0.0301076558621096</v>
      </c>
      <c r="BB26" s="24">
        <f t="shared" si="21"/>
        <v>0.0812999070119121</v>
      </c>
      <c r="BC26" s="24">
        <f t="shared" si="22"/>
        <v>0.0834799666448012</v>
      </c>
      <c r="BD26" s="24"/>
      <c r="BE26" s="24">
        <f t="shared" si="23"/>
        <v>0.00218005963288906</v>
      </c>
      <c r="BF26" s="55">
        <f>VLOOKUP(B26,[5]市州营业收现率202412完成!$B$1:$AH$28,6,0)</f>
        <v>3089855.196117</v>
      </c>
      <c r="BG26" s="55">
        <f>VLOOKUP(B26,[4]市州营业收现率12月完成!$B$1:$AI$28,7,0)</f>
        <v>3212100.32710529</v>
      </c>
      <c r="BH26" s="24">
        <f>VLOOKUP(B26,[5]市州营业收现率202412完成!$B$1:$AH$28,5,0)</f>
        <v>1.01571239041593</v>
      </c>
      <c r="BI26" s="24">
        <f>VLOOKUP(B26,[4]市州营业收现率12月完成!$B$1:$AI$28,5,0)</f>
        <v>1.05252235323997</v>
      </c>
      <c r="BJ26" s="56"/>
    </row>
    <row r="28" spans="32:57"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</row>
  </sheetData>
  <autoFilter ref="A4:BJ26">
    <extLst/>
  </autoFilter>
  <mergeCells count="73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conditionalFormatting sqref="AJ26">
    <cfRule type="top10" dxfId="0" priority="14" rank="5"/>
  </conditionalFormatting>
  <conditionalFormatting sqref="K5:K25">
    <cfRule type="top10" dxfId="0" priority="12" rank="5"/>
  </conditionalFormatting>
  <conditionalFormatting sqref="R5:R25">
    <cfRule type="top10" dxfId="0" priority="10" rank="5"/>
  </conditionalFormatting>
  <conditionalFormatting sqref="U5:U25">
    <cfRule type="top10" dxfId="0" priority="5" rank="5"/>
  </conditionalFormatting>
  <conditionalFormatting sqref="BA5:BA25">
    <cfRule type="top10" dxfId="0" priority="9" bottom="1" rank="5"/>
  </conditionalFormatting>
  <conditionalFormatting sqref="BH5:BH26">
    <cfRule type="top10" dxfId="0" priority="2" bottom="1" rank="5"/>
  </conditionalFormatting>
  <conditionalFormatting sqref="BI5:BI26">
    <cfRule type="top10" dxfId="0" priority="1" bottom="1" rank="5"/>
  </conditionalFormatting>
  <conditionalFormatting sqref="M5:N25 M26">
    <cfRule type="top10" dxfId="0" priority="8" rank="5"/>
  </conditionalFormatting>
  <conditionalFormatting sqref="T26:U26 T5:T25">
    <cfRule type="top10" dxfId="0" priority="13" rank="5"/>
  </conditionalFormatting>
  <conditionalFormatting sqref="AA26:AB26 AA5:AA25">
    <cfRule type="top10" dxfId="0" priority="4" rank="5"/>
  </conditionalFormatting>
  <conditionalFormatting sqref="AC26:AD26 AC5:AC25">
    <cfRule type="top10" dxfId="0" priority="3" rank="5"/>
  </conditionalFormatting>
  <conditionalFormatting sqref="AN5:AO25">
    <cfRule type="top10" dxfId="0" priority="11" rank="5"/>
  </conditionalFormatting>
  <conditionalFormatting sqref="AQ5:AR5 AR6:AR25 AQ6:AQ26">
    <cfRule type="top10" dxfId="0" priority="7" rank="5"/>
  </conditionalFormatting>
  <conditionalFormatting sqref="BC5:BD25">
    <cfRule type="top10" dxfId="0" priority="6" bottom="1" rank="5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2025年12月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admin</cp:lastModifiedBy>
  <dcterms:created xsi:type="dcterms:W3CDTF">2024-08-14T09:33:00Z</dcterms:created>
  <dcterms:modified xsi:type="dcterms:W3CDTF">2026-03-26T02:45:22Z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A5B1BD7E889045F4913909CACA410AD4_13</vt:lpwstr>
  </property>
  <property fmtid="{D5CDD505-2E9C-101B-9397-08002B2CF9AE}" pid="3" name="KSOProductBuildVer">
    <vt:lpwstr>2052-12.8.2.15091</vt:lpwstr>
  </property>
</Properties>
</file>