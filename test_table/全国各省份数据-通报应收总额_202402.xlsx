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12935"/>
  </bookViews>
  <sheets>
    <sheet name="Sheet" sheetId="1" r:id="rId1"/>
  </sheets>
  <externalReferences>
    <externalReference r:id="rId2"/>
  </externalReferences>
  <definedNames>
    <definedName name="_xlnm._FilterDatabase" localSheetId="0" hidden="1">Sheet!$A$2:$AW$36</definedName>
  </definedNames>
  <calcPr calcId="144525"/>
</workbook>
</file>

<file path=xl/sharedStrings.xml><?xml version="1.0" encoding="utf-8"?>
<sst xmlns="http://schemas.openxmlformats.org/spreadsheetml/2006/main" count="91" uniqueCount="87">
  <si>
    <t>应收总额情况</t>
  </si>
  <si>
    <t>产数业务应收总额情况</t>
  </si>
  <si>
    <t>基础业务应收总额情况</t>
  </si>
  <si>
    <t>坏账情况</t>
  </si>
  <si>
    <t>序号</t>
  </si>
  <si>
    <t>单位</t>
  </si>
  <si>
    <t>2024年02月应收总额（横向汇总）</t>
  </si>
  <si>
    <t>应收总额-排名（从低到高）</t>
  </si>
  <si>
    <t>2023年02月应收总额（横向汇总）</t>
  </si>
  <si>
    <t>应收总额同比增幅</t>
  </si>
  <si>
    <t>应收总额同比增幅-排名（从低到高）</t>
  </si>
  <si>
    <t>2024年02月营业总收入（横向汇总）</t>
  </si>
  <si>
    <t>2023年02月营业总收入（横向汇总）</t>
  </si>
  <si>
    <t>收入同比增幅</t>
  </si>
  <si>
    <t>2023年总收入（横向汇总）</t>
  </si>
  <si>
    <t>2024年02月应收占收比（横向汇总）</t>
  </si>
  <si>
    <t>应收占收比-排名（从低到高）</t>
  </si>
  <si>
    <t>2023年02月应收占收比（横向汇总）</t>
  </si>
  <si>
    <t>应收占收比同比增量(PP)</t>
  </si>
  <si>
    <t>应收占收比同比增量(PP)-排名（从低到高）</t>
  </si>
  <si>
    <t>2024年02月产数应收总额（横向汇总）</t>
  </si>
  <si>
    <t>产数应收总额-排名（从低到高）</t>
  </si>
  <si>
    <t>2023年02月产数应收总额（横向汇总）</t>
  </si>
  <si>
    <t>产数应收总额同比增幅</t>
  </si>
  <si>
    <t>产数应收总额同比增幅-排名（从低到高）</t>
  </si>
  <si>
    <t>2024年02月产数收入（横向汇总）</t>
  </si>
  <si>
    <t>2023年02月产数收入（横向汇总）</t>
  </si>
  <si>
    <t>产数收入同比增幅</t>
  </si>
  <si>
    <t>管控目标</t>
  </si>
  <si>
    <t>2024年02月产数应收占收比（横向汇总）</t>
  </si>
  <si>
    <t>产数应收占收比-排名（从低到高）</t>
  </si>
  <si>
    <t>2023年02月产数应收占收比（横向汇总）</t>
  </si>
  <si>
    <t>产数应收占收比同比增量(PP)</t>
  </si>
  <si>
    <t>产数应收占收比同比增量(PP)-排名（从低到高）</t>
  </si>
  <si>
    <t>2024年02月基础业务应收总额（横向汇总）</t>
  </si>
  <si>
    <t>基础应收总额-排名（从低到高）</t>
  </si>
  <si>
    <t>2023年02月基础业务应收总额（横向汇总）</t>
  </si>
  <si>
    <t>基础业务应收总额同比增幅</t>
  </si>
  <si>
    <t>基础业务应收总额同比增幅-排名（从低到高）</t>
  </si>
  <si>
    <t>2024年02月基础业务收入（横向汇总）</t>
  </si>
  <si>
    <t>2023年02月基础业务收入（横向汇总）</t>
  </si>
  <si>
    <t>基础业务收入同比增幅</t>
  </si>
  <si>
    <t>2024年02月基础业务应收占收比（横向汇总）</t>
  </si>
  <si>
    <t>基础应收占收比-排名（从低到高）</t>
  </si>
  <si>
    <t>2023年02月基础业务应收占收比（横向汇总）</t>
  </si>
  <si>
    <t>基础业务应收占收比同比增量(PP)</t>
  </si>
  <si>
    <t>基础业务应收占收比同比增量(PP)-排名（从低到高）</t>
  </si>
  <si>
    <t>本年坏账损失</t>
  </si>
  <si>
    <t>坏账率</t>
  </si>
  <si>
    <t>上年同期坏账损失</t>
  </si>
  <si>
    <t>同比增幅</t>
  </si>
  <si>
    <t>同比增幅-排名（从低到高）</t>
  </si>
  <si>
    <t>广东</t>
  </si>
  <si>
    <t>江苏</t>
  </si>
  <si>
    <t>浙江</t>
  </si>
  <si>
    <t>上海</t>
  </si>
  <si>
    <t>四川</t>
  </si>
  <si>
    <t>福建</t>
  </si>
  <si>
    <t>湖北</t>
  </si>
  <si>
    <t>安徽</t>
  </si>
  <si>
    <t>陕西</t>
  </si>
  <si>
    <t>湖南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</si>
  <si>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</si>
  <si>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</si>
  <si>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</si>
  <si>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</si>
  <si>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</si>
  <si>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</si>
  <si>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</si>
  <si>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</si>
  <si>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</si>
  <si>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</si>
  <si>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</si>
  <si>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</si>
  <si>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</si>
  <si>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</si>
  <si>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</si>
  <si>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</si>
  <si>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</si>
  <si>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</si>
  <si>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</si>
  <si>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</si>
  <si>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</si>
  <si>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合计</t>
  </si>
  <si>
    <t>南方省</t>
  </si>
  <si>
    <t>/</t>
  </si>
  <si>
    <t>北方省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</si>
</sst>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0_);_([$€-2]* \(#,##0.000\);_([$€-2]* &quot;-&quot;??_)"/>
    <numFmt numFmtId="177" formatCode="0.0%"/>
  </numFmts>
  <fonts count="27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 tint="0.0499893185216834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49" fontId="2" fillId="0" borderId="3" xfId="0" applyNumberFormat="1" applyFont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43" fontId="5" fillId="3" borderId="3" xfId="0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177" fontId="5" fillId="0" borderId="3" xfId="0" applyNumberFormat="1" applyFont="1" applyBorder="1" applyAlignment="1">
      <alignment horizontal="center" vertical="center"/>
    </xf>
    <xf numFmtId="0" fontId="0" fillId="0" borderId="4" xfId="0" applyBorder="1"/>
    <xf numFmtId="49" fontId="6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3" fontId="5" fillId="0" borderId="3" xfId="0" applyNumberFormat="1" applyFont="1" applyBorder="1" applyAlignment="1">
      <alignment horizontal="center" vertical="center"/>
    </xf>
    <xf numFmtId="177" fontId="5" fillId="0" borderId="3" xfId="3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3" fontId="5" fillId="3" borderId="3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 wrapText="1"/>
    </xf>
    <xf numFmtId="10" fontId="5" fillId="7" borderId="3" xfId="0" applyNumberFormat="1" applyFont="1" applyFill="1" applyBorder="1" applyAlignment="1">
      <alignment horizontal="center" vertical="center"/>
    </xf>
    <xf numFmtId="10" fontId="5" fillId="0" borderId="3" xfId="3" applyNumberFormat="1" applyFont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3" fontId="4" fillId="3" borderId="3" xfId="0" applyNumberFormat="1" applyFont="1" applyFill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840;&#22269;&#21508;&#30465;&#20221;&#25968;&#25454;-&#36890;&#25253;&#24212;&#25910;&#24635;&#39069;_2025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</sheetNames>
    <sheetDataSet>
      <sheetData sheetId="0">
        <row r="3">
          <cell r="E3">
            <v>94.86</v>
          </cell>
        </row>
        <row r="3">
          <cell r="I3">
            <v>99.59</v>
          </cell>
        </row>
        <row r="3">
          <cell r="N3">
            <v>0.1531</v>
          </cell>
        </row>
        <row r="3">
          <cell r="S3">
            <v>58.08</v>
          </cell>
        </row>
        <row r="3">
          <cell r="W3">
            <v>29.85</v>
          </cell>
        </row>
        <row r="3">
          <cell r="AB3">
            <v>0.3243</v>
          </cell>
        </row>
        <row r="3">
          <cell r="AG3">
            <v>36.78</v>
          </cell>
        </row>
        <row r="3">
          <cell r="AK3">
            <v>69.74</v>
          </cell>
        </row>
        <row r="3">
          <cell r="AP3">
            <v>0.0879</v>
          </cell>
        </row>
        <row r="3">
          <cell r="AU3">
            <v>2.41</v>
          </cell>
        </row>
        <row r="4">
          <cell r="E4">
            <v>39.21</v>
          </cell>
        </row>
        <row r="4">
          <cell r="I4">
            <v>85.45</v>
          </cell>
        </row>
        <row r="4">
          <cell r="N4">
            <v>0.0771</v>
          </cell>
        </row>
        <row r="4">
          <cell r="S4">
            <v>22.17</v>
          </cell>
        </row>
        <row r="4">
          <cell r="W4">
            <v>29.68</v>
          </cell>
        </row>
        <row r="4">
          <cell r="AB4">
            <v>0.1245</v>
          </cell>
        </row>
        <row r="4">
          <cell r="AG4">
            <v>17.04</v>
          </cell>
        </row>
        <row r="4">
          <cell r="AK4">
            <v>55.77</v>
          </cell>
        </row>
        <row r="4">
          <cell r="AP4">
            <v>0.0509</v>
          </cell>
        </row>
        <row r="4">
          <cell r="AU4">
            <v>0.81</v>
          </cell>
        </row>
        <row r="5">
          <cell r="E5">
            <v>35.8</v>
          </cell>
        </row>
        <row r="5">
          <cell r="I5">
            <v>60.07</v>
          </cell>
        </row>
        <row r="5">
          <cell r="N5">
            <v>0.1055</v>
          </cell>
        </row>
        <row r="5">
          <cell r="S5">
            <v>24.62</v>
          </cell>
        </row>
        <row r="5">
          <cell r="W5">
            <v>20.24</v>
          </cell>
        </row>
        <row r="5">
          <cell r="AB5">
            <v>0.2027</v>
          </cell>
        </row>
        <row r="5">
          <cell r="AG5">
            <v>11.18</v>
          </cell>
        </row>
        <row r="5">
          <cell r="AK5">
            <v>39.83</v>
          </cell>
        </row>
        <row r="5">
          <cell r="AP5">
            <v>0.0468</v>
          </cell>
        </row>
        <row r="5">
          <cell r="AU5">
            <v>0.53</v>
          </cell>
        </row>
        <row r="6">
          <cell r="E6">
            <v>53.88</v>
          </cell>
        </row>
        <row r="6">
          <cell r="I6">
            <v>53.82</v>
          </cell>
        </row>
        <row r="6">
          <cell r="N6">
            <v>0.1636</v>
          </cell>
        </row>
        <row r="6">
          <cell r="S6">
            <v>34.66</v>
          </cell>
        </row>
        <row r="6">
          <cell r="W6">
            <v>27.65</v>
          </cell>
        </row>
        <row r="6">
          <cell r="AB6">
            <v>0.2089</v>
          </cell>
        </row>
        <row r="6">
          <cell r="AG6">
            <v>19.22</v>
          </cell>
        </row>
        <row r="6">
          <cell r="AK6">
            <v>26.17</v>
          </cell>
        </row>
        <row r="6">
          <cell r="AP6">
            <v>0.1224</v>
          </cell>
        </row>
        <row r="6">
          <cell r="AU6">
            <v>1.91</v>
          </cell>
        </row>
        <row r="10">
          <cell r="E10">
            <v>22.6</v>
          </cell>
        </row>
        <row r="10">
          <cell r="I10">
            <v>37.68</v>
          </cell>
        </row>
        <row r="10">
          <cell r="N10">
            <v>0.1043</v>
          </cell>
        </row>
        <row r="10">
          <cell r="S10">
            <v>15.4</v>
          </cell>
        </row>
        <row r="10">
          <cell r="W10">
            <v>9.3</v>
          </cell>
        </row>
        <row r="10">
          <cell r="AB10">
            <v>0.2762</v>
          </cell>
        </row>
        <row r="10">
          <cell r="AG10">
            <v>7.2</v>
          </cell>
        </row>
        <row r="10">
          <cell r="AK10">
            <v>28.38</v>
          </cell>
        </row>
        <row r="10">
          <cell r="AP10">
            <v>0.0423</v>
          </cell>
        </row>
        <row r="10">
          <cell r="AU10">
            <v>0.45</v>
          </cell>
        </row>
        <row r="12">
          <cell r="E12">
            <v>17.65</v>
          </cell>
        </row>
        <row r="12">
          <cell r="I12">
            <v>37.35</v>
          </cell>
        </row>
        <row r="12">
          <cell r="N12">
            <v>0.079</v>
          </cell>
        </row>
        <row r="12">
          <cell r="S12">
            <v>12.16</v>
          </cell>
        </row>
        <row r="12">
          <cell r="W12">
            <v>7.5</v>
          </cell>
        </row>
        <row r="12">
          <cell r="AB12">
            <v>0.27</v>
          </cell>
        </row>
        <row r="12">
          <cell r="AG12">
            <v>5.5</v>
          </cell>
        </row>
        <row r="12">
          <cell r="AK12">
            <v>29.85</v>
          </cell>
        </row>
        <row r="12">
          <cell r="AP12">
            <v>0.0307</v>
          </cell>
        </row>
        <row r="12">
          <cell r="AU12">
            <v>0.71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W36"/>
  <sheetViews>
    <sheetView tabSelected="1" zoomScale="85" zoomScaleNormal="85" workbookViewId="0">
      <selection activeCell="F20" sqref="F20"/>
    </sheetView>
  </sheetViews>
  <sheetFormatPr defaultColWidth="9" defaultRowHeight="14.4"/>
  <cols>
    <col min="3" max="3" width="9.33333333333333"/>
    <col min="5" max="5" width="9.33333333333333"/>
    <col min="8" max="9" width="9.33333333333333"/>
    <col min="11" max="11" width="11.1111111111111"/>
    <col min="17" max="17" width="9.33333333333333"/>
    <col min="19" max="19" width="9.33333333333333"/>
    <col min="36" max="37" width="9.33333333333333"/>
  </cols>
  <sheetData>
    <row r="1" ht="25.8" spans="1:45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2"/>
      <c r="Q1" s="18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2"/>
      <c r="AE1" s="20" t="s">
        <v>2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24" t="s">
        <v>3</v>
      </c>
    </row>
    <row r="2" ht="97.2" spans="1:49">
      <c r="A2" s="4" t="s">
        <v>4</v>
      </c>
      <c r="B2" s="4" t="s">
        <v>5</v>
      </c>
      <c r="C2" s="5" t="s">
        <v>6</v>
      </c>
      <c r="D2" s="6" t="s">
        <v>7</v>
      </c>
      <c r="E2" s="5" t="s">
        <v>8</v>
      </c>
      <c r="F2" s="4" t="s">
        <v>9</v>
      </c>
      <c r="G2" s="6" t="s">
        <v>10</v>
      </c>
      <c r="H2" s="5" t="s">
        <v>11</v>
      </c>
      <c r="I2" s="5" t="s">
        <v>12</v>
      </c>
      <c r="J2" s="4" t="s">
        <v>13</v>
      </c>
      <c r="K2" s="13" t="s">
        <v>14</v>
      </c>
      <c r="L2" s="14" t="s">
        <v>15</v>
      </c>
      <c r="M2" s="6" t="s">
        <v>16</v>
      </c>
      <c r="N2" s="14" t="s">
        <v>17</v>
      </c>
      <c r="O2" s="4" t="s">
        <v>18</v>
      </c>
      <c r="P2" s="6" t="s">
        <v>19</v>
      </c>
      <c r="Q2" s="5" t="s">
        <v>20</v>
      </c>
      <c r="R2" s="6" t="s">
        <v>21</v>
      </c>
      <c r="S2" s="5" t="s">
        <v>22</v>
      </c>
      <c r="T2" s="4" t="s">
        <v>23</v>
      </c>
      <c r="U2" s="6" t="s">
        <v>24</v>
      </c>
      <c r="V2" s="5" t="s">
        <v>25</v>
      </c>
      <c r="W2" s="5" t="s">
        <v>26</v>
      </c>
      <c r="X2" s="4" t="s">
        <v>27</v>
      </c>
      <c r="Y2" s="21" t="s">
        <v>28</v>
      </c>
      <c r="Z2" s="14" t="s">
        <v>29</v>
      </c>
      <c r="AA2" s="6" t="s">
        <v>30</v>
      </c>
      <c r="AB2" s="14" t="s">
        <v>31</v>
      </c>
      <c r="AC2" s="4" t="s">
        <v>32</v>
      </c>
      <c r="AD2" s="6" t="s">
        <v>33</v>
      </c>
      <c r="AE2" s="4" t="s">
        <v>34</v>
      </c>
      <c r="AF2" s="6" t="s">
        <v>35</v>
      </c>
      <c r="AG2" s="4" t="s">
        <v>36</v>
      </c>
      <c r="AH2" s="4" t="s">
        <v>37</v>
      </c>
      <c r="AI2" s="6" t="s">
        <v>38</v>
      </c>
      <c r="AJ2" s="4" t="s">
        <v>39</v>
      </c>
      <c r="AK2" s="4" t="s">
        <v>40</v>
      </c>
      <c r="AL2" s="4" t="s">
        <v>41</v>
      </c>
      <c r="AM2" s="21" t="s">
        <v>28</v>
      </c>
      <c r="AN2" s="14" t="s">
        <v>42</v>
      </c>
      <c r="AO2" s="6" t="s">
        <v>43</v>
      </c>
      <c r="AP2" s="14" t="s">
        <v>44</v>
      </c>
      <c r="AQ2" s="4" t="s">
        <v>45</v>
      </c>
      <c r="AR2" s="6" t="s">
        <v>46</v>
      </c>
      <c r="AS2" s="4" t="s">
        <v>47</v>
      </c>
      <c r="AT2" s="4" t="s">
        <v>48</v>
      </c>
      <c r="AU2" s="4" t="s">
        <v>49</v>
      </c>
      <c r="AV2" s="4" t="s">
        <v>50</v>
      </c>
      <c r="AW2" s="6" t="s">
        <v>51</v>
      </c>
    </row>
    <row r="3" ht="15.6" spans="1:49">
      <c r="A3" s="7">
        <v>1</v>
      </c>
      <c r="B3" s="8" t="s">
        <v>52</v>
      </c>
      <c r="C3" s="9">
        <f>[1]Sheet!$E$3</f>
        <v>94.86</v>
      </c>
      <c r="D3" s="10"/>
      <c r="E3" s="9"/>
      <c r="F3" s="11"/>
      <c r="G3" s="10"/>
      <c r="H3" s="9">
        <f>[1]Sheet!$I$3</f>
        <v>99.59</v>
      </c>
      <c r="I3" s="9"/>
      <c r="J3" s="11"/>
      <c r="K3" s="15"/>
      <c r="L3" s="16">
        <f>[1]Sheet!$N$3</f>
        <v>0.1531</v>
      </c>
      <c r="M3" s="10"/>
      <c r="N3" s="17"/>
      <c r="O3" s="15"/>
      <c r="P3" s="10"/>
      <c r="Q3" s="9">
        <f>[1]Sheet!$S$3</f>
        <v>58.08</v>
      </c>
      <c r="R3" s="10"/>
      <c r="S3" s="9"/>
      <c r="T3" s="11"/>
      <c r="U3" s="10"/>
      <c r="V3" s="9">
        <f>[1]Sheet!$W$3</f>
        <v>29.85</v>
      </c>
      <c r="W3" s="19"/>
      <c r="X3" s="11"/>
      <c r="Y3" s="22"/>
      <c r="Z3" s="23">
        <f>[1]Sheet!$AB$3</f>
        <v>0.3243</v>
      </c>
      <c r="AA3" s="10"/>
      <c r="AB3" s="17"/>
      <c r="AC3" s="15"/>
      <c r="AD3" s="10"/>
      <c r="AE3" s="15">
        <f>[1]Sheet!$AG$3</f>
        <v>36.78</v>
      </c>
      <c r="AF3" s="10"/>
      <c r="AG3" s="15"/>
      <c r="AH3" s="11"/>
      <c r="AI3" s="10"/>
      <c r="AJ3" s="15">
        <f>[1]Sheet!$AK$3</f>
        <v>69.74</v>
      </c>
      <c r="AK3" s="15"/>
      <c r="AL3" s="11"/>
      <c r="AM3" s="22"/>
      <c r="AN3" s="16">
        <f>[1]Sheet!$AP$3</f>
        <v>0.0879</v>
      </c>
      <c r="AO3" s="10"/>
      <c r="AP3" s="17"/>
      <c r="AQ3" s="15"/>
      <c r="AR3" s="10"/>
      <c r="AS3" s="25">
        <f>[1]Sheet!$AU$3</f>
        <v>2.41</v>
      </c>
      <c r="AT3" s="26"/>
      <c r="AU3" s="25"/>
      <c r="AV3" s="11"/>
      <c r="AW3" s="10"/>
    </row>
    <row r="4" ht="15.6" spans="1:49">
      <c r="A4" s="7">
        <v>2</v>
      </c>
      <c r="B4" s="8" t="s">
        <v>53</v>
      </c>
      <c r="C4" s="9">
        <f>[1]Sheet!$E$4</f>
        <v>39.21</v>
      </c>
      <c r="D4" s="10"/>
      <c r="E4" s="9"/>
      <c r="F4" s="11"/>
      <c r="G4" s="10"/>
      <c r="H4" s="9">
        <f>[1]Sheet!$I$4</f>
        <v>85.45</v>
      </c>
      <c r="I4" s="9"/>
      <c r="J4" s="11"/>
      <c r="K4" s="15"/>
      <c r="L4" s="16">
        <f>[1]Sheet!$N$4</f>
        <v>0.0771</v>
      </c>
      <c r="M4" s="10"/>
      <c r="N4" s="17"/>
      <c r="O4" s="15"/>
      <c r="P4" s="10"/>
      <c r="Q4" s="9">
        <f>[1]Sheet!$S$4</f>
        <v>22.17</v>
      </c>
      <c r="R4" s="10"/>
      <c r="S4" s="9"/>
      <c r="T4" s="11"/>
      <c r="U4" s="10"/>
      <c r="V4" s="9">
        <f>[1]Sheet!$W$4</f>
        <v>29.68</v>
      </c>
      <c r="W4" s="19"/>
      <c r="X4" s="11"/>
      <c r="Y4" s="22"/>
      <c r="Z4" s="23">
        <f>[1]Sheet!$AB$4</f>
        <v>0.1245</v>
      </c>
      <c r="AA4" s="10"/>
      <c r="AB4" s="17"/>
      <c r="AC4" s="15"/>
      <c r="AD4" s="10"/>
      <c r="AE4" s="15">
        <f>[1]Sheet!$AG$4</f>
        <v>17.04</v>
      </c>
      <c r="AF4" s="10"/>
      <c r="AG4" s="15"/>
      <c r="AH4" s="11"/>
      <c r="AI4" s="10"/>
      <c r="AJ4" s="15">
        <f>[1]Sheet!$AK$4</f>
        <v>55.77</v>
      </c>
      <c r="AK4" s="15"/>
      <c r="AL4" s="11"/>
      <c r="AM4" s="22"/>
      <c r="AN4" s="16">
        <f>[1]Sheet!$AP$4</f>
        <v>0.0509</v>
      </c>
      <c r="AO4" s="10"/>
      <c r="AP4" s="17"/>
      <c r="AQ4" s="15"/>
      <c r="AR4" s="10"/>
      <c r="AS4" s="25">
        <f>[1]Sheet!$AU$4</f>
        <v>0.81</v>
      </c>
      <c r="AT4" s="26"/>
      <c r="AU4" s="25"/>
      <c r="AV4" s="11"/>
      <c r="AW4" s="10"/>
    </row>
    <row r="5" ht="15.6" spans="1:49">
      <c r="A5" s="7">
        <v>3</v>
      </c>
      <c r="B5" s="8" t="s">
        <v>54</v>
      </c>
      <c r="C5" s="9">
        <f>[1]Sheet!$E$5</f>
        <v>35.8</v>
      </c>
      <c r="D5" s="10"/>
      <c r="E5" s="9"/>
      <c r="F5" s="11"/>
      <c r="G5" s="10"/>
      <c r="H5" s="9">
        <f>[1]Sheet!$I$5</f>
        <v>60.07</v>
      </c>
      <c r="I5" s="9"/>
      <c r="J5" s="11"/>
      <c r="K5" s="15"/>
      <c r="L5" s="16">
        <f>[1]Sheet!$N$5</f>
        <v>0.1055</v>
      </c>
      <c r="M5" s="10"/>
      <c r="N5" s="17"/>
      <c r="O5" s="15"/>
      <c r="P5" s="10"/>
      <c r="Q5" s="9">
        <f>[1]Sheet!$S$5</f>
        <v>24.62</v>
      </c>
      <c r="R5" s="10"/>
      <c r="S5" s="9"/>
      <c r="T5" s="11"/>
      <c r="U5" s="10"/>
      <c r="V5" s="9">
        <f>[1]Sheet!$W$5</f>
        <v>20.24</v>
      </c>
      <c r="W5" s="19"/>
      <c r="X5" s="11"/>
      <c r="Y5" s="22"/>
      <c r="Z5" s="23">
        <f>[1]Sheet!$AB$5</f>
        <v>0.2027</v>
      </c>
      <c r="AA5" s="10"/>
      <c r="AB5" s="17"/>
      <c r="AC5" s="15"/>
      <c r="AD5" s="10"/>
      <c r="AE5" s="15">
        <f>[1]Sheet!$AG$5</f>
        <v>11.18</v>
      </c>
      <c r="AF5" s="10"/>
      <c r="AG5" s="15"/>
      <c r="AH5" s="11"/>
      <c r="AI5" s="10"/>
      <c r="AJ5" s="15">
        <f>[1]Sheet!$AK$5</f>
        <v>39.83</v>
      </c>
      <c r="AK5" s="15"/>
      <c r="AL5" s="11"/>
      <c r="AM5" s="22"/>
      <c r="AN5" s="16">
        <f>[1]Sheet!$AP$5</f>
        <v>0.0468</v>
      </c>
      <c r="AO5" s="10"/>
      <c r="AP5" s="17"/>
      <c r="AQ5" s="15"/>
      <c r="AR5" s="10"/>
      <c r="AS5" s="25">
        <f>[1]Sheet!$AU$5</f>
        <v>0.53</v>
      </c>
      <c r="AT5" s="26"/>
      <c r="AU5" s="25"/>
      <c r="AV5" s="11"/>
      <c r="AW5" s="10"/>
    </row>
    <row r="6" ht="15.6" spans="1:49">
      <c r="A6" s="7">
        <v>4</v>
      </c>
      <c r="B6" s="8" t="s">
        <v>55</v>
      </c>
      <c r="C6" s="9">
        <f>[1]Sheet!$E$6</f>
        <v>53.88</v>
      </c>
      <c r="D6" s="10"/>
      <c r="E6" s="9"/>
      <c r="F6" s="11"/>
      <c r="G6" s="10"/>
      <c r="H6" s="9">
        <f>[1]Sheet!$I$6</f>
        <v>53.82</v>
      </c>
      <c r="I6" s="9"/>
      <c r="J6" s="11"/>
      <c r="K6" s="15"/>
      <c r="L6" s="16">
        <f>[1]Sheet!$N$6</f>
        <v>0.1636</v>
      </c>
      <c r="M6" s="10"/>
      <c r="N6" s="17"/>
      <c r="O6" s="15"/>
      <c r="P6" s="10"/>
      <c r="Q6" s="9">
        <f>[1]Sheet!$S$6</f>
        <v>34.66</v>
      </c>
      <c r="R6" s="10"/>
      <c r="S6" s="9"/>
      <c r="T6" s="11"/>
      <c r="U6" s="10"/>
      <c r="V6" s="9">
        <f>[1]Sheet!$W$6</f>
        <v>27.65</v>
      </c>
      <c r="W6" s="19"/>
      <c r="X6" s="11"/>
      <c r="Y6" s="22"/>
      <c r="Z6" s="23">
        <f>[1]Sheet!$AB$6</f>
        <v>0.2089</v>
      </c>
      <c r="AA6" s="10"/>
      <c r="AB6" s="17"/>
      <c r="AC6" s="15"/>
      <c r="AD6" s="10"/>
      <c r="AE6" s="15">
        <f>[1]Sheet!$AG$6</f>
        <v>19.22</v>
      </c>
      <c r="AF6" s="10"/>
      <c r="AG6" s="15"/>
      <c r="AH6" s="11"/>
      <c r="AI6" s="10"/>
      <c r="AJ6" s="15">
        <f>[1]Sheet!$AK$6</f>
        <v>26.17</v>
      </c>
      <c r="AK6" s="15"/>
      <c r="AL6" s="11"/>
      <c r="AM6" s="22"/>
      <c r="AN6" s="16">
        <f>[1]Sheet!$AP$6</f>
        <v>0.1224</v>
      </c>
      <c r="AO6" s="10"/>
      <c r="AP6" s="17"/>
      <c r="AQ6" s="15"/>
      <c r="AR6" s="10"/>
      <c r="AS6" s="25">
        <f>[1]Sheet!$AU$6</f>
        <v>1.91</v>
      </c>
      <c r="AT6" s="26"/>
      <c r="AU6" s="25"/>
      <c r="AV6" s="11"/>
      <c r="AW6" s="10"/>
    </row>
    <row r="7" ht="15.6" spans="1:49">
      <c r="A7" s="7">
        <v>5</v>
      </c>
      <c r="B7" s="8" t="s">
        <v>56</v>
      </c>
      <c r="C7" s="9">
        <v>22.4872142043</v>
      </c>
      <c r="D7" s="10"/>
      <c r="E7" s="9">
        <v>19.407676242</v>
      </c>
      <c r="F7" s="11">
        <v>0.158676284780328</v>
      </c>
      <c r="G7" s="10"/>
      <c r="H7" s="9">
        <v>53.6535073851</v>
      </c>
      <c r="I7" s="9">
        <v>50.9566436509</v>
      </c>
      <c r="J7" s="11">
        <v>0.0529246736240323</v>
      </c>
      <c r="K7" s="15">
        <v>305.2621492087</v>
      </c>
      <c r="L7" s="16">
        <v>0.071</v>
      </c>
      <c r="M7" s="10"/>
      <c r="N7" s="17">
        <v>0.0635770805267163</v>
      </c>
      <c r="O7" s="15">
        <v>0.742291947328372</v>
      </c>
      <c r="P7" s="10"/>
      <c r="Q7" s="9">
        <v>13.7872546383</v>
      </c>
      <c r="R7" s="10"/>
      <c r="S7" s="9">
        <v>5.3835034515</v>
      </c>
      <c r="T7" s="11">
        <v>1.56101900231131</v>
      </c>
      <c r="U7" s="10"/>
      <c r="V7" s="9">
        <v>10.6502620323</v>
      </c>
      <c r="W7" s="19">
        <v>8.8787060819</v>
      </c>
      <c r="X7" s="11">
        <v>0.199528617577675</v>
      </c>
      <c r="Y7" s="22"/>
      <c r="Z7" s="23">
        <v>0.215757674889221</v>
      </c>
      <c r="AA7" s="10"/>
      <c r="AB7" s="17">
        <v>0.101056456534711</v>
      </c>
      <c r="AC7" s="15">
        <v>11.470121835451</v>
      </c>
      <c r="AD7" s="10"/>
      <c r="AE7" s="15">
        <v>8.699959566</v>
      </c>
      <c r="AF7" s="10"/>
      <c r="AG7" s="15">
        <v>14.0241727905</v>
      </c>
      <c r="AH7" s="11">
        <v>-0.379645438204144</v>
      </c>
      <c r="AI7" s="10"/>
      <c r="AJ7" s="15">
        <v>43.0032453528</v>
      </c>
      <c r="AK7" s="15">
        <v>42.077937569</v>
      </c>
      <c r="AL7" s="11">
        <v>0.02199033121057</v>
      </c>
      <c r="AM7" s="22"/>
      <c r="AN7" s="16">
        <v>0.0337182286849332</v>
      </c>
      <c r="AO7" s="10"/>
      <c r="AP7" s="17">
        <v>0.0555484005820666</v>
      </c>
      <c r="AQ7" s="15">
        <v>-2.18301718971334</v>
      </c>
      <c r="AR7" s="10"/>
      <c r="AS7" s="25">
        <v>0.5348581628</v>
      </c>
      <c r="AT7" s="26">
        <v>0.00996874554651266</v>
      </c>
      <c r="AU7" s="25">
        <v>0.0904339624</v>
      </c>
      <c r="AV7" s="11">
        <v>4.91435063338549</v>
      </c>
      <c r="AW7" s="10"/>
    </row>
    <row r="8" ht="15.6" spans="1:49">
      <c r="A8" s="7">
        <v>6</v>
      </c>
      <c r="B8" s="8" t="s">
        <v>57</v>
      </c>
      <c r="C8" s="9"/>
      <c r="D8" s="10"/>
      <c r="E8" s="9"/>
      <c r="F8" s="11"/>
      <c r="G8" s="10"/>
      <c r="H8" s="9"/>
      <c r="I8" s="9"/>
      <c r="J8" s="11"/>
      <c r="K8" s="15"/>
      <c r="L8" s="16"/>
      <c r="M8" s="10"/>
      <c r="N8" s="17"/>
      <c r="O8" s="15"/>
      <c r="P8" s="10"/>
      <c r="Q8" s="9"/>
      <c r="R8" s="10"/>
      <c r="S8" s="9"/>
      <c r="T8" s="11"/>
      <c r="U8" s="10"/>
      <c r="V8" s="9"/>
      <c r="W8" s="19"/>
      <c r="X8" s="11"/>
      <c r="Y8" s="22"/>
      <c r="Z8" s="23"/>
      <c r="AA8" s="10"/>
      <c r="AB8" s="17"/>
      <c r="AC8" s="15"/>
      <c r="AD8" s="10"/>
      <c r="AE8" s="15"/>
      <c r="AF8" s="10"/>
      <c r="AG8" s="15"/>
      <c r="AH8" s="11"/>
      <c r="AI8" s="10"/>
      <c r="AJ8" s="15"/>
      <c r="AK8" s="15"/>
      <c r="AL8" s="11"/>
      <c r="AM8" s="22"/>
      <c r="AN8" s="16"/>
      <c r="AO8" s="10"/>
      <c r="AP8" s="17"/>
      <c r="AQ8" s="15"/>
      <c r="AR8" s="10"/>
      <c r="AS8" s="25"/>
      <c r="AT8" s="26"/>
      <c r="AU8" s="25"/>
      <c r="AV8" s="11"/>
      <c r="AW8" s="10"/>
    </row>
    <row r="9" ht="15.6" spans="1:49">
      <c r="A9" s="7">
        <v>7</v>
      </c>
      <c r="B9" s="8" t="s">
        <v>58</v>
      </c>
      <c r="C9" s="9"/>
      <c r="D9" s="10"/>
      <c r="E9" s="9"/>
      <c r="F9" s="11"/>
      <c r="G9" s="10"/>
      <c r="H9" s="9"/>
      <c r="I9" s="9"/>
      <c r="J9" s="11"/>
      <c r="K9" s="15"/>
      <c r="L9" s="16"/>
      <c r="M9" s="10"/>
      <c r="N9" s="17"/>
      <c r="O9" s="15"/>
      <c r="P9" s="10"/>
      <c r="Q9" s="9"/>
      <c r="R9" s="10"/>
      <c r="S9" s="9"/>
      <c r="T9" s="11"/>
      <c r="U9" s="10"/>
      <c r="V9" s="9"/>
      <c r="W9" s="19"/>
      <c r="X9" s="11"/>
      <c r="Y9" s="22"/>
      <c r="Z9" s="23"/>
      <c r="AA9" s="10"/>
      <c r="AB9" s="17"/>
      <c r="AC9" s="15"/>
      <c r="AD9" s="10"/>
      <c r="AE9" s="15"/>
      <c r="AF9" s="10"/>
      <c r="AG9" s="15"/>
      <c r="AH9" s="11"/>
      <c r="AI9" s="10"/>
      <c r="AJ9" s="15"/>
      <c r="AK9" s="15"/>
      <c r="AL9" s="11"/>
      <c r="AM9" s="22"/>
      <c r="AN9" s="16"/>
      <c r="AO9" s="10"/>
      <c r="AP9" s="17"/>
      <c r="AQ9" s="15"/>
      <c r="AR9" s="10"/>
      <c r="AS9" s="25"/>
      <c r="AT9" s="26"/>
      <c r="AU9" s="25"/>
      <c r="AV9" s="11"/>
      <c r="AW9" s="10"/>
    </row>
    <row r="10" ht="15.6" spans="1:49">
      <c r="A10" s="7">
        <v>8</v>
      </c>
      <c r="B10" s="8" t="s">
        <v>59</v>
      </c>
      <c r="C10" s="9">
        <f>[1]Sheet!$E$10</f>
        <v>22.6</v>
      </c>
      <c r="D10" s="10"/>
      <c r="E10" s="9"/>
      <c r="F10" s="11"/>
      <c r="G10" s="10"/>
      <c r="H10" s="9">
        <f>[1]Sheet!$I$10</f>
        <v>37.68</v>
      </c>
      <c r="I10" s="9"/>
      <c r="J10" s="11"/>
      <c r="K10" s="15"/>
      <c r="L10" s="16">
        <f>[1]Sheet!$N$10</f>
        <v>0.1043</v>
      </c>
      <c r="M10" s="10"/>
      <c r="N10" s="17"/>
      <c r="O10" s="15"/>
      <c r="P10" s="10"/>
      <c r="Q10" s="9">
        <f>[1]Sheet!$S$10</f>
        <v>15.4</v>
      </c>
      <c r="R10" s="10"/>
      <c r="S10" s="9"/>
      <c r="T10" s="11"/>
      <c r="U10" s="10"/>
      <c r="V10" s="9">
        <f>[1]Sheet!$W$10</f>
        <v>9.3</v>
      </c>
      <c r="W10" s="19"/>
      <c r="X10" s="11"/>
      <c r="Y10" s="22"/>
      <c r="Z10" s="23">
        <f>[1]Sheet!$AB$10</f>
        <v>0.2762</v>
      </c>
      <c r="AA10" s="10"/>
      <c r="AB10" s="17"/>
      <c r="AC10" s="15"/>
      <c r="AD10" s="10"/>
      <c r="AE10" s="15">
        <f>[1]Sheet!$AG$10</f>
        <v>7.2</v>
      </c>
      <c r="AF10" s="10"/>
      <c r="AG10" s="15"/>
      <c r="AH10" s="11"/>
      <c r="AI10" s="10"/>
      <c r="AJ10" s="15">
        <f>[1]Sheet!$AK$10</f>
        <v>28.38</v>
      </c>
      <c r="AK10" s="15"/>
      <c r="AL10" s="11"/>
      <c r="AM10" s="22"/>
      <c r="AN10" s="16">
        <f>[1]Sheet!$AP$10</f>
        <v>0.0423</v>
      </c>
      <c r="AO10" s="10"/>
      <c r="AP10" s="17"/>
      <c r="AQ10" s="15"/>
      <c r="AR10" s="10"/>
      <c r="AS10" s="25">
        <f>[1]Sheet!$AU$10</f>
        <v>0.45</v>
      </c>
      <c r="AT10" s="26"/>
      <c r="AU10" s="25"/>
      <c r="AV10" s="11"/>
      <c r="AW10" s="10"/>
    </row>
    <row r="11" ht="15.6" spans="1:49">
      <c r="A11" s="7">
        <v>9</v>
      </c>
      <c r="B11" s="8" t="s">
        <v>60</v>
      </c>
      <c r="C11" s="9"/>
      <c r="D11" s="10"/>
      <c r="E11" s="9"/>
      <c r="F11" s="11"/>
      <c r="G11" s="10"/>
      <c r="H11" s="9"/>
      <c r="I11" s="9"/>
      <c r="J11" s="11"/>
      <c r="K11" s="15"/>
      <c r="L11" s="16"/>
      <c r="M11" s="10"/>
      <c r="N11" s="17"/>
      <c r="O11" s="15"/>
      <c r="P11" s="10"/>
      <c r="Q11" s="9"/>
      <c r="R11" s="10"/>
      <c r="S11" s="9"/>
      <c r="T11" s="11"/>
      <c r="U11" s="10"/>
      <c r="V11" s="9"/>
      <c r="W11" s="19"/>
      <c r="X11" s="11"/>
      <c r="Y11" s="22"/>
      <c r="Z11" s="23"/>
      <c r="AA11" s="10"/>
      <c r="AB11" s="17"/>
      <c r="AC11" s="15"/>
      <c r="AD11" s="10"/>
      <c r="AE11" s="15"/>
      <c r="AF11" s="10"/>
      <c r="AG11" s="15"/>
      <c r="AH11" s="11"/>
      <c r="AI11" s="10"/>
      <c r="AJ11" s="15"/>
      <c r="AK11" s="15"/>
      <c r="AL11" s="11"/>
      <c r="AM11" s="22"/>
      <c r="AN11" s="16"/>
      <c r="AO11" s="10"/>
      <c r="AP11" s="17"/>
      <c r="AQ11" s="15"/>
      <c r="AR11" s="10"/>
      <c r="AS11" s="25"/>
      <c r="AT11" s="26"/>
      <c r="AU11" s="25"/>
      <c r="AV11" s="11"/>
      <c r="AW11" s="10"/>
    </row>
    <row r="12" ht="15.6" spans="1:49">
      <c r="A12" s="7">
        <v>10</v>
      </c>
      <c r="B12" s="8" t="s">
        <v>61</v>
      </c>
      <c r="C12" s="9">
        <f>[1]Sheet!$E$12</f>
        <v>17.65</v>
      </c>
      <c r="D12" s="10"/>
      <c r="E12" s="9"/>
      <c r="F12" s="11"/>
      <c r="G12" s="10"/>
      <c r="H12" s="9">
        <f>[1]Sheet!$I$12</f>
        <v>37.35</v>
      </c>
      <c r="I12" s="9"/>
      <c r="J12" s="11"/>
      <c r="K12" s="15"/>
      <c r="L12" s="16">
        <f>[1]Sheet!$N$12</f>
        <v>0.079</v>
      </c>
      <c r="M12" s="10"/>
      <c r="N12" s="17"/>
      <c r="O12" s="15"/>
      <c r="P12" s="10"/>
      <c r="Q12" s="9">
        <f>[1]Sheet!$S$12</f>
        <v>12.16</v>
      </c>
      <c r="R12" s="10"/>
      <c r="S12" s="9"/>
      <c r="T12" s="11"/>
      <c r="U12" s="10"/>
      <c r="V12" s="9">
        <f>[1]Sheet!$W$12</f>
        <v>7.5</v>
      </c>
      <c r="W12" s="19"/>
      <c r="X12" s="11"/>
      <c r="Y12" s="22"/>
      <c r="Z12" s="23">
        <f>[1]Sheet!$AB$12</f>
        <v>0.27</v>
      </c>
      <c r="AA12" s="10"/>
      <c r="AB12" s="17"/>
      <c r="AC12" s="15"/>
      <c r="AD12" s="10"/>
      <c r="AE12" s="15">
        <f>[1]Sheet!$AG$12</f>
        <v>5.5</v>
      </c>
      <c r="AF12" s="10"/>
      <c r="AG12" s="15"/>
      <c r="AH12" s="11"/>
      <c r="AI12" s="10"/>
      <c r="AJ12" s="15">
        <f>[1]Sheet!$AK$12</f>
        <v>29.85</v>
      </c>
      <c r="AK12" s="15"/>
      <c r="AL12" s="11"/>
      <c r="AM12" s="22"/>
      <c r="AN12" s="16">
        <f>[1]Sheet!$AP$12</f>
        <v>0.0307</v>
      </c>
      <c r="AO12" s="10"/>
      <c r="AP12" s="17"/>
      <c r="AQ12" s="15"/>
      <c r="AR12" s="10"/>
      <c r="AS12" s="25">
        <f>[1]Sheet!$AU$12</f>
        <v>0.71</v>
      </c>
      <c r="AT12" s="26"/>
      <c r="AU12" s="25"/>
      <c r="AV12" s="11"/>
      <c r="AW12" s="10"/>
    </row>
    <row r="13" ht="15.6" spans="1:49">
      <c r="A13" s="7">
        <v>11</v>
      </c>
      <c r="B13" s="8" t="s">
        <v>62</v>
      </c>
      <c r="C13" s="9"/>
      <c r="D13" s="10"/>
      <c r="E13" s="9"/>
      <c r="F13" s="11"/>
      <c r="G13" s="10"/>
      <c r="H13" s="9"/>
      <c r="I13" s="9"/>
      <c r="J13" s="11"/>
      <c r="K13" s="15"/>
      <c r="L13" s="16"/>
      <c r="M13" s="10"/>
      <c r="N13" s="17"/>
      <c r="O13" s="15"/>
      <c r="P13" s="10"/>
      <c r="Q13" s="9"/>
      <c r="R13" s="10"/>
      <c r="S13" s="9"/>
      <c r="T13" s="11"/>
      <c r="U13" s="10"/>
      <c r="V13" s="9"/>
      <c r="W13" s="19"/>
      <c r="X13" s="11"/>
      <c r="Y13" s="22"/>
      <c r="Z13" s="23"/>
      <c r="AA13" s="10"/>
      <c r="AB13" s="17"/>
      <c r="AC13" s="15"/>
      <c r="AD13" s="10"/>
      <c r="AE13" s="15"/>
      <c r="AF13" s="10"/>
      <c r="AG13" s="15"/>
      <c r="AH13" s="11"/>
      <c r="AI13" s="10"/>
      <c r="AJ13" s="15"/>
      <c r="AK13" s="15"/>
      <c r="AL13" s="11"/>
      <c r="AM13" s="22"/>
      <c r="AN13" s="16"/>
      <c r="AO13" s="10"/>
      <c r="AP13" s="17"/>
      <c r="AQ13" s="15"/>
      <c r="AR13" s="10"/>
      <c r="AS13" s="25"/>
      <c r="AT13" s="26"/>
      <c r="AU13" s="25"/>
      <c r="AV13" s="11"/>
      <c r="AW13" s="10"/>
    </row>
    <row r="14" ht="15.6" spans="1:49">
      <c r="A14" s="7">
        <v>12</v>
      </c>
      <c r="B14" s="8" t="s">
        <v>63</v>
      </c>
      <c r="C14" s="9"/>
      <c r="D14" s="10"/>
      <c r="E14" s="9"/>
      <c r="F14" s="11"/>
      <c r="G14" s="10"/>
      <c r="H14" s="9"/>
      <c r="I14" s="9"/>
      <c r="J14" s="11"/>
      <c r="K14" s="15"/>
      <c r="L14" s="16"/>
      <c r="M14" s="10"/>
      <c r="N14" s="17"/>
      <c r="O14" s="15"/>
      <c r="P14" s="10"/>
      <c r="Q14" s="9"/>
      <c r="R14" s="10"/>
      <c r="S14" s="9"/>
      <c r="T14" s="11"/>
      <c r="U14" s="10"/>
      <c r="V14" s="9"/>
      <c r="W14" s="19"/>
      <c r="X14" s="11"/>
      <c r="Y14" s="22"/>
      <c r="Z14" s="23"/>
      <c r="AA14" s="10"/>
      <c r="AB14" s="17"/>
      <c r="AC14" s="15"/>
      <c r="AD14" s="10"/>
      <c r="AE14" s="15"/>
      <c r="AF14" s="10"/>
      <c r="AG14" s="15"/>
      <c r="AH14" s="11"/>
      <c r="AI14" s="10"/>
      <c r="AJ14" s="15"/>
      <c r="AK14" s="15"/>
      <c r="AL14" s="11"/>
      <c r="AM14" s="22"/>
      <c r="AN14" s="16"/>
      <c r="AO14" s="10"/>
      <c r="AP14" s="17"/>
      <c r="AQ14" s="15"/>
      <c r="AR14" s="10"/>
      <c r="AS14" s="25"/>
      <c r="AT14" s="26"/>
      <c r="AU14" s="25"/>
      <c r="AV14" s="11"/>
      <c r="AW14" s="10"/>
    </row>
    <row r="15" ht="15.6" spans="1:49">
      <c r="A15" s="7">
        <v>13</v>
      </c>
      <c r="B15" s="8" t="s">
        <v>64</v>
      </c>
      <c r="C15" s="9"/>
      <c r="D15" s="10"/>
      <c r="E15" s="9"/>
      <c r="F15" s="11"/>
      <c r="G15" s="10"/>
      <c r="H15" s="9"/>
      <c r="I15" s="9"/>
      <c r="J15" s="11"/>
      <c r="K15" s="15"/>
      <c r="L15" s="16"/>
      <c r="M15" s="10"/>
      <c r="N15" s="17"/>
      <c r="O15" s="15"/>
      <c r="P15" s="10"/>
      <c r="Q15" s="9"/>
      <c r="R15" s="10"/>
      <c r="S15" s="9"/>
      <c r="T15" s="11"/>
      <c r="U15" s="10"/>
      <c r="V15" s="9"/>
      <c r="W15" s="19"/>
      <c r="X15" s="11"/>
      <c r="Y15" s="22"/>
      <c r="Z15" s="23"/>
      <c r="AA15" s="10"/>
      <c r="AB15" s="17"/>
      <c r="AC15" s="15"/>
      <c r="AD15" s="10"/>
      <c r="AE15" s="15"/>
      <c r="AF15" s="10"/>
      <c r="AG15" s="15"/>
      <c r="AH15" s="11"/>
      <c r="AI15" s="10"/>
      <c r="AJ15" s="15"/>
      <c r="AK15" s="15"/>
      <c r="AL15" s="11"/>
      <c r="AM15" s="22"/>
      <c r="AN15" s="16"/>
      <c r="AO15" s="10"/>
      <c r="AP15" s="17"/>
      <c r="AQ15" s="15"/>
      <c r="AR15" s="10"/>
      <c r="AS15" s="25"/>
      <c r="AT15" s="26"/>
      <c r="AU15" s="25"/>
      <c r="AV15" s="11"/>
      <c r="AW15" s="10"/>
    </row>
    <row r="16" ht="15.6" spans="1:49">
      <c r="A16" s="7">
        <v>14</v>
      </c>
      <c r="B16" s="8" t="s">
        <v>65</v>
      </c>
      <c r="C16" s="9"/>
      <c r="D16" s="10"/>
      <c r="E16" s="9"/>
      <c r="F16" s="11"/>
      <c r="G16" s="10"/>
      <c r="H16" s="9"/>
      <c r="I16" s="9"/>
      <c r="J16" s="11"/>
      <c r="K16" s="15"/>
      <c r="L16" s="16"/>
      <c r="M16" s="10"/>
      <c r="N16" s="17"/>
      <c r="O16" s="15"/>
      <c r="P16" s="10"/>
      <c r="Q16" s="9"/>
      <c r="R16" s="10"/>
      <c r="S16" s="9"/>
      <c r="T16" s="11"/>
      <c r="U16" s="10"/>
      <c r="V16" s="9"/>
      <c r="W16" s="19"/>
      <c r="X16" s="11"/>
      <c r="Y16" s="22"/>
      <c r="Z16" s="23"/>
      <c r="AA16" s="10"/>
      <c r="AB16" s="17"/>
      <c r="AC16" s="15"/>
      <c r="AD16" s="10"/>
      <c r="AE16" s="15"/>
      <c r="AF16" s="10"/>
      <c r="AG16" s="15"/>
      <c r="AH16" s="11"/>
      <c r="AI16" s="10"/>
      <c r="AJ16" s="15"/>
      <c r="AK16" s="15"/>
      <c r="AL16" s="11"/>
      <c r="AM16" s="22"/>
      <c r="AN16" s="16"/>
      <c r="AO16" s="10"/>
      <c r="AP16" s="17"/>
      <c r="AQ16" s="15"/>
      <c r="AR16" s="10"/>
      <c r="AS16" s="25"/>
      <c r="AT16" s="26"/>
      <c r="AU16" s="25"/>
      <c r="AV16" s="11"/>
      <c r="AW16" s="10"/>
    </row>
    <row r="17" ht="15.6" spans="1:49">
      <c r="A17" s="7">
        <v>15</v>
      </c>
      <c r="B17" s="8" t="s">
        <v>66</v>
      </c>
      <c r="C17" s="9"/>
      <c r="D17" s="10"/>
      <c r="E17" s="9"/>
      <c r="F17" s="11"/>
      <c r="G17" s="10"/>
      <c r="H17" s="9"/>
      <c r="I17" s="9"/>
      <c r="J17" s="11"/>
      <c r="K17" s="15"/>
      <c r="L17" s="16"/>
      <c r="M17" s="10"/>
      <c r="N17" s="17"/>
      <c r="O17" s="15"/>
      <c r="P17" s="10"/>
      <c r="Q17" s="9"/>
      <c r="R17" s="10"/>
      <c r="S17" s="9"/>
      <c r="T17" s="11"/>
      <c r="U17" s="10"/>
      <c r="V17" s="9"/>
      <c r="W17" s="19"/>
      <c r="X17" s="11"/>
      <c r="Y17" s="22"/>
      <c r="Z17" s="23"/>
      <c r="AA17" s="10"/>
      <c r="AB17" s="17"/>
      <c r="AC17" s="15"/>
      <c r="AD17" s="10"/>
      <c r="AE17" s="15"/>
      <c r="AF17" s="10"/>
      <c r="AG17" s="15"/>
      <c r="AH17" s="11"/>
      <c r="AI17" s="10"/>
      <c r="AJ17" s="15"/>
      <c r="AK17" s="15"/>
      <c r="AL17" s="11"/>
      <c r="AM17" s="22"/>
      <c r="AN17" s="16"/>
      <c r="AO17" s="10"/>
      <c r="AP17" s="17"/>
      <c r="AQ17" s="15"/>
      <c r="AR17" s="10"/>
      <c r="AS17" s="25"/>
      <c r="AT17" s="26"/>
      <c r="AU17" s="25"/>
      <c r="AV17" s="11"/>
      <c r="AW17" s="10"/>
    </row>
    <row r="18" ht="15.6" spans="1:49">
      <c r="A18" s="7">
        <v>16</v>
      </c>
      <c r="B18" s="8" t="s">
        <v>67</v>
      </c>
      <c r="C18" s="9"/>
      <c r="D18" s="10"/>
      <c r="E18" s="9"/>
      <c r="F18" s="11"/>
      <c r="G18" s="10"/>
      <c r="H18" s="9"/>
      <c r="I18" s="9"/>
      <c r="J18" s="11"/>
      <c r="K18" s="15"/>
      <c r="L18" s="16"/>
      <c r="M18" s="10"/>
      <c r="N18" s="17"/>
      <c r="O18" s="15"/>
      <c r="P18" s="10"/>
      <c r="Q18" s="9"/>
      <c r="R18" s="10"/>
      <c r="S18" s="9"/>
      <c r="T18" s="11"/>
      <c r="U18" s="10"/>
      <c r="V18" s="9"/>
      <c r="W18" s="19"/>
      <c r="X18" s="11"/>
      <c r="Y18" s="22"/>
      <c r="Z18" s="23"/>
      <c r="AA18" s="10"/>
      <c r="AB18" s="17"/>
      <c r="AC18" s="15"/>
      <c r="AD18" s="10"/>
      <c r="AE18" s="15"/>
      <c r="AF18" s="10"/>
      <c r="AG18" s="15"/>
      <c r="AH18" s="11"/>
      <c r="AI18" s="10"/>
      <c r="AJ18" s="15"/>
      <c r="AK18" s="15"/>
      <c r="AL18" s="11"/>
      <c r="AM18" s="22"/>
      <c r="AN18" s="16"/>
      <c r="AO18" s="10"/>
      <c r="AP18" s="17"/>
      <c r="AQ18" s="15"/>
      <c r="AR18" s="10"/>
      <c r="AS18" s="25"/>
      <c r="AT18" s="26"/>
      <c r="AU18" s="25"/>
      <c r="AV18" s="11"/>
      <c r="AW18" s="10"/>
    </row>
    <row r="19" ht="15.6" spans="1:49">
      <c r="A19" s="7">
        <v>17</v>
      </c>
      <c r="B19" s="8" t="s">
        <v>68</v>
      </c>
      <c r="C19" s="9"/>
      <c r="D19" s="10"/>
      <c r="E19" s="9"/>
      <c r="F19" s="11"/>
      <c r="G19" s="10"/>
      <c r="H19" s="9"/>
      <c r="I19" s="9"/>
      <c r="J19" s="11"/>
      <c r="K19" s="15"/>
      <c r="L19" s="16"/>
      <c r="M19" s="10"/>
      <c r="N19" s="17"/>
      <c r="O19" s="15"/>
      <c r="P19" s="10"/>
      <c r="Q19" s="9"/>
      <c r="R19" s="10"/>
      <c r="S19" s="9"/>
      <c r="T19" s="11"/>
      <c r="U19" s="10"/>
      <c r="V19" s="9"/>
      <c r="W19" s="19"/>
      <c r="X19" s="11"/>
      <c r="Y19" s="22"/>
      <c r="Z19" s="23"/>
      <c r="AA19" s="10"/>
      <c r="AB19" s="17"/>
      <c r="AC19" s="15"/>
      <c r="AD19" s="10"/>
      <c r="AE19" s="15"/>
      <c r="AF19" s="10"/>
      <c r="AG19" s="15"/>
      <c r="AH19" s="11"/>
      <c r="AI19" s="10"/>
      <c r="AJ19" s="15"/>
      <c r="AK19" s="15"/>
      <c r="AL19" s="11"/>
      <c r="AM19" s="22"/>
      <c r="AN19" s="16"/>
      <c r="AO19" s="10"/>
      <c r="AP19" s="17"/>
      <c r="AQ19" s="15"/>
      <c r="AR19" s="10"/>
      <c r="AS19" s="25"/>
      <c r="AT19" s="26"/>
      <c r="AU19" s="25"/>
      <c r="AV19" s="11"/>
      <c r="AW19" s="10"/>
    </row>
    <row r="20" ht="15.6" spans="1:49">
      <c r="A20" s="7">
        <v>18</v>
      </c>
      <c r="B20" s="8" t="s">
        <v>69</v>
      </c>
      <c r="C20" s="9"/>
      <c r="D20" s="10"/>
      <c r="E20" s="9"/>
      <c r="F20" s="11"/>
      <c r="G20" s="10"/>
      <c r="H20" s="9"/>
      <c r="I20" s="9"/>
      <c r="J20" s="11"/>
      <c r="K20" s="15"/>
      <c r="L20" s="16"/>
      <c r="M20" s="10"/>
      <c r="N20" s="17"/>
      <c r="O20" s="15"/>
      <c r="P20" s="10"/>
      <c r="Q20" s="9"/>
      <c r="R20" s="10"/>
      <c r="S20" s="9"/>
      <c r="T20" s="11"/>
      <c r="U20" s="10"/>
      <c r="V20" s="9"/>
      <c r="W20" s="19"/>
      <c r="X20" s="11"/>
      <c r="Y20" s="22"/>
      <c r="Z20" s="23"/>
      <c r="AA20" s="10"/>
      <c r="AB20" s="17"/>
      <c r="AC20" s="15"/>
      <c r="AD20" s="10"/>
      <c r="AE20" s="15"/>
      <c r="AF20" s="10"/>
      <c r="AG20" s="15"/>
      <c r="AH20" s="11"/>
      <c r="AI20" s="10"/>
      <c r="AJ20" s="15"/>
      <c r="AK20" s="15"/>
      <c r="AL20" s="11"/>
      <c r="AM20" s="22"/>
      <c r="AN20" s="16"/>
      <c r="AO20" s="10"/>
      <c r="AP20" s="17"/>
      <c r="AQ20" s="15"/>
      <c r="AR20" s="10"/>
      <c r="AS20" s="25"/>
      <c r="AT20" s="26"/>
      <c r="AU20" s="25"/>
      <c r="AV20" s="11"/>
      <c r="AW20" s="10"/>
    </row>
    <row r="21" ht="15.6" spans="1:49">
      <c r="A21" s="7">
        <v>19</v>
      </c>
      <c r="B21" s="8" t="s">
        <v>70</v>
      </c>
      <c r="C21" s="9"/>
      <c r="D21" s="10"/>
      <c r="E21" s="9"/>
      <c r="F21" s="11"/>
      <c r="G21" s="10"/>
      <c r="H21" s="9"/>
      <c r="I21" s="9"/>
      <c r="J21" s="11"/>
      <c r="K21" s="15"/>
      <c r="L21" s="16"/>
      <c r="M21" s="10"/>
      <c r="N21" s="17"/>
      <c r="O21" s="15"/>
      <c r="P21" s="10"/>
      <c r="Q21" s="9"/>
      <c r="R21" s="10"/>
      <c r="S21" s="9"/>
      <c r="T21" s="11"/>
      <c r="U21" s="10"/>
      <c r="V21" s="9"/>
      <c r="W21" s="19"/>
      <c r="X21" s="11"/>
      <c r="Y21" s="22"/>
      <c r="Z21" s="23"/>
      <c r="AA21" s="10"/>
      <c r="AB21" s="17"/>
      <c r="AC21" s="15"/>
      <c r="AD21" s="10"/>
      <c r="AE21" s="15"/>
      <c r="AF21" s="10"/>
      <c r="AG21" s="15"/>
      <c r="AH21" s="11"/>
      <c r="AI21" s="10"/>
      <c r="AJ21" s="15"/>
      <c r="AK21" s="15"/>
      <c r="AL21" s="11"/>
      <c r="AM21" s="22"/>
      <c r="AN21" s="16"/>
      <c r="AO21" s="10"/>
      <c r="AP21" s="17"/>
      <c r="AQ21" s="15"/>
      <c r="AR21" s="10"/>
      <c r="AS21" s="25"/>
      <c r="AT21" s="26"/>
      <c r="AU21" s="25"/>
      <c r="AV21" s="11"/>
      <c r="AW21" s="10"/>
    </row>
    <row r="22" ht="15.6" spans="1:49">
      <c r="A22" s="7">
        <v>20</v>
      </c>
      <c r="B22" s="8" t="s">
        <v>71</v>
      </c>
      <c r="C22" s="9"/>
      <c r="D22" s="10"/>
      <c r="E22" s="9"/>
      <c r="F22" s="11"/>
      <c r="G22" s="10"/>
      <c r="H22" s="9"/>
      <c r="I22" s="9"/>
      <c r="J22" s="11"/>
      <c r="K22" s="15"/>
      <c r="L22" s="16"/>
      <c r="M22" s="10"/>
      <c r="N22" s="17"/>
      <c r="O22" s="15"/>
      <c r="P22" s="10"/>
      <c r="Q22" s="9"/>
      <c r="R22" s="10"/>
      <c r="S22" s="9"/>
      <c r="T22" s="11"/>
      <c r="U22" s="10"/>
      <c r="V22" s="9"/>
      <c r="W22" s="19"/>
      <c r="X22" s="11"/>
      <c r="Y22" s="22"/>
      <c r="Z22" s="23"/>
      <c r="AA22" s="10"/>
      <c r="AB22" s="17"/>
      <c r="AC22" s="15"/>
      <c r="AD22" s="10"/>
      <c r="AE22" s="15"/>
      <c r="AF22" s="10"/>
      <c r="AG22" s="15"/>
      <c r="AH22" s="11"/>
      <c r="AI22" s="10"/>
      <c r="AJ22" s="15"/>
      <c r="AK22" s="15"/>
      <c r="AL22" s="11"/>
      <c r="AM22" s="22"/>
      <c r="AN22" s="16"/>
      <c r="AO22" s="10"/>
      <c r="AP22" s="17"/>
      <c r="AQ22" s="15"/>
      <c r="AR22" s="10"/>
      <c r="AS22" s="25"/>
      <c r="AT22" s="26"/>
      <c r="AU22" s="25"/>
      <c r="AV22" s="11"/>
      <c r="AW22" s="10"/>
    </row>
    <row r="23" ht="15.6" spans="1:49">
      <c r="A23" s="7">
        <v>21</v>
      </c>
      <c r="B23" s="8" t="s">
        <v>72</v>
      </c>
      <c r="C23" s="9"/>
      <c r="D23" s="10"/>
      <c r="E23" s="9"/>
      <c r="F23" s="11"/>
      <c r="G23" s="10"/>
      <c r="H23" s="9"/>
      <c r="I23" s="9"/>
      <c r="J23" s="11"/>
      <c r="K23" s="15"/>
      <c r="L23" s="16"/>
      <c r="M23" s="10"/>
      <c r="N23" s="17"/>
      <c r="O23" s="15"/>
      <c r="P23" s="10"/>
      <c r="Q23" s="9"/>
      <c r="R23" s="10"/>
      <c r="S23" s="9"/>
      <c r="T23" s="11"/>
      <c r="U23" s="10"/>
      <c r="V23" s="9"/>
      <c r="W23" s="19"/>
      <c r="X23" s="11"/>
      <c r="Y23" s="22"/>
      <c r="Z23" s="23"/>
      <c r="AA23" s="10"/>
      <c r="AB23" s="17"/>
      <c r="AC23" s="15"/>
      <c r="AD23" s="10"/>
      <c r="AE23" s="15"/>
      <c r="AF23" s="10"/>
      <c r="AG23" s="15"/>
      <c r="AH23" s="11"/>
      <c r="AI23" s="10"/>
      <c r="AJ23" s="15"/>
      <c r="AK23" s="15"/>
      <c r="AL23" s="11"/>
      <c r="AM23" s="22"/>
      <c r="AN23" s="16"/>
      <c r="AO23" s="10"/>
      <c r="AP23" s="17"/>
      <c r="AQ23" s="15"/>
      <c r="AR23" s="10"/>
      <c r="AS23" s="25"/>
      <c r="AT23" s="26"/>
      <c r="AU23" s="25"/>
      <c r="AV23" s="11"/>
      <c r="AW23" s="10"/>
    </row>
    <row r="24" ht="15.6" spans="1:49">
      <c r="A24" s="7">
        <v>22</v>
      </c>
      <c r="B24" s="8" t="s">
        <v>73</v>
      </c>
      <c r="C24" s="9"/>
      <c r="D24" s="10"/>
      <c r="E24" s="9"/>
      <c r="F24" s="11"/>
      <c r="G24" s="10"/>
      <c r="H24" s="9"/>
      <c r="I24" s="9"/>
      <c r="J24" s="11"/>
      <c r="K24" s="15"/>
      <c r="L24" s="16"/>
      <c r="M24" s="10"/>
      <c r="N24" s="17"/>
      <c r="O24" s="15"/>
      <c r="P24" s="10"/>
      <c r="Q24" s="9"/>
      <c r="R24" s="10"/>
      <c r="S24" s="9"/>
      <c r="T24" s="11"/>
      <c r="U24" s="10"/>
      <c r="V24" s="9"/>
      <c r="W24" s="19"/>
      <c r="X24" s="11"/>
      <c r="Y24" s="22"/>
      <c r="Z24" s="23"/>
      <c r="AA24" s="10"/>
      <c r="AB24" s="17"/>
      <c r="AC24" s="15"/>
      <c r="AD24" s="10"/>
      <c r="AE24" s="15"/>
      <c r="AF24" s="10"/>
      <c r="AG24" s="15"/>
      <c r="AH24" s="11"/>
      <c r="AI24" s="10"/>
      <c r="AJ24" s="15"/>
      <c r="AK24" s="15"/>
      <c r="AL24" s="11"/>
      <c r="AM24" s="22"/>
      <c r="AN24" s="16"/>
      <c r="AO24" s="10"/>
      <c r="AP24" s="17"/>
      <c r="AQ24" s="15"/>
      <c r="AR24" s="10"/>
      <c r="AS24" s="25"/>
      <c r="AT24" s="26"/>
      <c r="AU24" s="25"/>
      <c r="AV24" s="11"/>
      <c r="AW24" s="10"/>
    </row>
    <row r="25" ht="15.6" spans="1:49">
      <c r="A25" s="7">
        <v>23</v>
      </c>
      <c r="B25" s="8" t="s">
        <v>74</v>
      </c>
      <c r="C25" s="9"/>
      <c r="D25" s="10"/>
      <c r="E25" s="9"/>
      <c r="F25" s="11"/>
      <c r="G25" s="10"/>
      <c r="H25" s="9"/>
      <c r="I25" s="9"/>
      <c r="J25" s="11"/>
      <c r="K25" s="15"/>
      <c r="L25" s="16"/>
      <c r="M25" s="10"/>
      <c r="N25" s="17"/>
      <c r="O25" s="15"/>
      <c r="P25" s="10"/>
      <c r="Q25" s="9"/>
      <c r="R25" s="10"/>
      <c r="S25" s="9"/>
      <c r="T25" s="11"/>
      <c r="U25" s="10"/>
      <c r="V25" s="9"/>
      <c r="W25" s="19"/>
      <c r="X25" s="11"/>
      <c r="Y25" s="22"/>
      <c r="Z25" s="23"/>
      <c r="AA25" s="10"/>
      <c r="AB25" s="17"/>
      <c r="AC25" s="15"/>
      <c r="AD25" s="10"/>
      <c r="AE25" s="15"/>
      <c r="AF25" s="10"/>
      <c r="AG25" s="15"/>
      <c r="AH25" s="11"/>
      <c r="AI25" s="10"/>
      <c r="AJ25" s="15"/>
      <c r="AK25" s="15"/>
      <c r="AL25" s="11"/>
      <c r="AM25" s="22"/>
      <c r="AN25" s="16"/>
      <c r="AO25" s="10"/>
      <c r="AP25" s="17"/>
      <c r="AQ25" s="15"/>
      <c r="AR25" s="10"/>
      <c r="AS25" s="25"/>
      <c r="AT25" s="26"/>
      <c r="AU25" s="25"/>
      <c r="AV25" s="11"/>
      <c r="AW25" s="10"/>
    </row>
    <row r="26" ht="15.6" spans="1:49">
      <c r="A26" s="7">
        <v>24</v>
      </c>
      <c r="B26" s="8" t="s">
        <v>75</v>
      </c>
      <c r="C26" s="9"/>
      <c r="D26" s="10"/>
      <c r="E26" s="9"/>
      <c r="F26" s="11"/>
      <c r="G26" s="10"/>
      <c r="H26" s="9"/>
      <c r="I26" s="9"/>
      <c r="J26" s="11"/>
      <c r="K26" s="15"/>
      <c r="L26" s="16"/>
      <c r="M26" s="10"/>
      <c r="N26" s="17"/>
      <c r="O26" s="15"/>
      <c r="P26" s="10"/>
      <c r="Q26" s="9"/>
      <c r="R26" s="10"/>
      <c r="S26" s="9"/>
      <c r="T26" s="11"/>
      <c r="U26" s="10"/>
      <c r="V26" s="9"/>
      <c r="W26" s="19"/>
      <c r="X26" s="11"/>
      <c r="Y26" s="22"/>
      <c r="Z26" s="23"/>
      <c r="AA26" s="10"/>
      <c r="AB26" s="17"/>
      <c r="AC26" s="15"/>
      <c r="AD26" s="10"/>
      <c r="AE26" s="15"/>
      <c r="AF26" s="10"/>
      <c r="AG26" s="15"/>
      <c r="AH26" s="11"/>
      <c r="AI26" s="10"/>
      <c r="AJ26" s="15"/>
      <c r="AK26" s="15"/>
      <c r="AL26" s="11"/>
      <c r="AM26" s="22"/>
      <c r="AN26" s="16"/>
      <c r="AO26" s="10"/>
      <c r="AP26" s="17"/>
      <c r="AQ26" s="15"/>
      <c r="AR26" s="10"/>
      <c r="AS26" s="25"/>
      <c r="AT26" s="26"/>
      <c r="AU26" s="25"/>
      <c r="AV26" s="11"/>
      <c r="AW26" s="10"/>
    </row>
    <row r="27" ht="15.6" spans="1:49">
      <c r="A27" s="7">
        <v>25</v>
      </c>
      <c r="B27" s="8" t="s">
        <v>76</v>
      </c>
      <c r="C27" s="9"/>
      <c r="D27" s="10"/>
      <c r="E27" s="9"/>
      <c r="F27" s="11"/>
      <c r="G27" s="10"/>
      <c r="H27" s="9"/>
      <c r="I27" s="9"/>
      <c r="J27" s="11"/>
      <c r="K27" s="15"/>
      <c r="L27" s="16"/>
      <c r="M27" s="10"/>
      <c r="N27" s="17"/>
      <c r="O27" s="15"/>
      <c r="P27" s="10"/>
      <c r="Q27" s="9"/>
      <c r="R27" s="10"/>
      <c r="S27" s="9"/>
      <c r="T27" s="11"/>
      <c r="U27" s="10"/>
      <c r="V27" s="9"/>
      <c r="W27" s="19"/>
      <c r="X27" s="11"/>
      <c r="Y27" s="22"/>
      <c r="Z27" s="23"/>
      <c r="AA27" s="10"/>
      <c r="AB27" s="17"/>
      <c r="AC27" s="15"/>
      <c r="AD27" s="10"/>
      <c r="AE27" s="15"/>
      <c r="AF27" s="10"/>
      <c r="AG27" s="15"/>
      <c r="AH27" s="11"/>
      <c r="AI27" s="10"/>
      <c r="AJ27" s="15"/>
      <c r="AK27" s="15"/>
      <c r="AL27" s="11"/>
      <c r="AM27" s="22"/>
      <c r="AN27" s="16"/>
      <c r="AO27" s="10"/>
      <c r="AP27" s="17"/>
      <c r="AQ27" s="15"/>
      <c r="AR27" s="10"/>
      <c r="AS27" s="25"/>
      <c r="AT27" s="26"/>
      <c r="AU27" s="25"/>
      <c r="AV27" s="11"/>
      <c r="AW27" s="10"/>
    </row>
    <row r="28" ht="15.6" spans="1:49">
      <c r="A28" s="7">
        <v>26</v>
      </c>
      <c r="B28" s="8" t="s">
        <v>77</v>
      </c>
      <c r="C28" s="9"/>
      <c r="D28" s="10"/>
      <c r="E28" s="9"/>
      <c r="F28" s="11"/>
      <c r="G28" s="10"/>
      <c r="H28" s="9"/>
      <c r="I28" s="9"/>
      <c r="J28" s="11"/>
      <c r="K28" s="15"/>
      <c r="L28" s="16"/>
      <c r="M28" s="10"/>
      <c r="N28" s="17"/>
      <c r="O28" s="15"/>
      <c r="P28" s="10"/>
      <c r="Q28" s="9"/>
      <c r="R28" s="10"/>
      <c r="S28" s="9"/>
      <c r="T28" s="11"/>
      <c r="U28" s="10"/>
      <c r="V28" s="9"/>
      <c r="W28" s="19"/>
      <c r="X28" s="11"/>
      <c r="Y28" s="22"/>
      <c r="Z28" s="23"/>
      <c r="AA28" s="10"/>
      <c r="AB28" s="17"/>
      <c r="AC28" s="15"/>
      <c r="AD28" s="10"/>
      <c r="AE28" s="15"/>
      <c r="AF28" s="10"/>
      <c r="AG28" s="15"/>
      <c r="AH28" s="11"/>
      <c r="AI28" s="10"/>
      <c r="AJ28" s="15"/>
      <c r="AK28" s="15"/>
      <c r="AL28" s="11"/>
      <c r="AM28" s="22"/>
      <c r="AN28" s="16"/>
      <c r="AO28" s="10"/>
      <c r="AP28" s="17"/>
      <c r="AQ28" s="15"/>
      <c r="AR28" s="10"/>
      <c r="AS28" s="25"/>
      <c r="AT28" s="26"/>
      <c r="AU28" s="25"/>
      <c r="AV28" s="11"/>
      <c r="AW28" s="10"/>
    </row>
    <row r="29" ht="15.6" spans="1:49">
      <c r="A29" s="7">
        <v>27</v>
      </c>
      <c r="B29" s="8" t="s">
        <v>78</v>
      </c>
      <c r="C29" s="9"/>
      <c r="D29" s="10"/>
      <c r="E29" s="9"/>
      <c r="F29" s="11"/>
      <c r="G29" s="10"/>
      <c r="H29" s="9"/>
      <c r="I29" s="9"/>
      <c r="J29" s="11"/>
      <c r="K29" s="15"/>
      <c r="L29" s="16"/>
      <c r="M29" s="10"/>
      <c r="N29" s="17"/>
      <c r="O29" s="15"/>
      <c r="P29" s="10"/>
      <c r="Q29" s="9"/>
      <c r="R29" s="10"/>
      <c r="S29" s="9"/>
      <c r="T29" s="11"/>
      <c r="U29" s="10"/>
      <c r="V29" s="9"/>
      <c r="W29" s="19"/>
      <c r="X29" s="11"/>
      <c r="Y29" s="22"/>
      <c r="Z29" s="23"/>
      <c r="AA29" s="10"/>
      <c r="AB29" s="17"/>
      <c r="AC29" s="15"/>
      <c r="AD29" s="10"/>
      <c r="AE29" s="15"/>
      <c r="AF29" s="10"/>
      <c r="AG29" s="15"/>
      <c r="AH29" s="11"/>
      <c r="AI29" s="10"/>
      <c r="AJ29" s="15"/>
      <c r="AK29" s="15"/>
      <c r="AL29" s="11"/>
      <c r="AM29" s="22"/>
      <c r="AN29" s="16"/>
      <c r="AO29" s="10"/>
      <c r="AP29" s="17"/>
      <c r="AQ29" s="15"/>
      <c r="AR29" s="10"/>
      <c r="AS29" s="25"/>
      <c r="AT29" s="26"/>
      <c r="AU29" s="25"/>
      <c r="AV29" s="11"/>
      <c r="AW29" s="10"/>
    </row>
    <row r="30" ht="15.6" spans="1:49">
      <c r="A30" s="7">
        <v>28</v>
      </c>
      <c r="B30" s="8" t="s">
        <v>79</v>
      </c>
      <c r="C30" s="9"/>
      <c r="D30" s="10"/>
      <c r="E30" s="9"/>
      <c r="F30" s="11"/>
      <c r="G30" s="10"/>
      <c r="H30" s="9"/>
      <c r="I30" s="9"/>
      <c r="J30" s="11"/>
      <c r="K30" s="15"/>
      <c r="L30" s="16"/>
      <c r="M30" s="10"/>
      <c r="N30" s="17"/>
      <c r="O30" s="15"/>
      <c r="P30" s="10"/>
      <c r="Q30" s="9"/>
      <c r="R30" s="10"/>
      <c r="S30" s="9"/>
      <c r="T30" s="11"/>
      <c r="U30" s="10"/>
      <c r="V30" s="9"/>
      <c r="W30" s="19"/>
      <c r="X30" s="11"/>
      <c r="Y30" s="22"/>
      <c r="Z30" s="23"/>
      <c r="AA30" s="10"/>
      <c r="AB30" s="17"/>
      <c r="AC30" s="15"/>
      <c r="AD30" s="10"/>
      <c r="AE30" s="15"/>
      <c r="AF30" s="10"/>
      <c r="AG30" s="15"/>
      <c r="AH30" s="11"/>
      <c r="AI30" s="10"/>
      <c r="AJ30" s="15"/>
      <c r="AK30" s="15"/>
      <c r="AL30" s="11"/>
      <c r="AM30" s="22"/>
      <c r="AN30" s="16"/>
      <c r="AO30" s="10"/>
      <c r="AP30" s="17"/>
      <c r="AQ30" s="15"/>
      <c r="AR30" s="10"/>
      <c r="AS30" s="25"/>
      <c r="AT30" s="26"/>
      <c r="AU30" s="25"/>
      <c r="AV30" s="11"/>
      <c r="AW30" s="10"/>
    </row>
    <row r="31" ht="15.6" spans="1:49">
      <c r="A31" s="7">
        <v>29</v>
      </c>
      <c r="B31" s="8" t="s">
        <v>80</v>
      </c>
      <c r="C31" s="9"/>
      <c r="D31" s="10"/>
      <c r="E31" s="9"/>
      <c r="F31" s="11"/>
      <c r="G31" s="10"/>
      <c r="H31" s="9"/>
      <c r="I31" s="9"/>
      <c r="J31" s="11"/>
      <c r="K31" s="15"/>
      <c r="L31" s="16"/>
      <c r="M31" s="10"/>
      <c r="N31" s="17"/>
      <c r="O31" s="15"/>
      <c r="P31" s="10"/>
      <c r="Q31" s="9"/>
      <c r="R31" s="10"/>
      <c r="S31" s="9"/>
      <c r="T31" s="11"/>
      <c r="U31" s="10"/>
      <c r="V31" s="9"/>
      <c r="W31" s="19"/>
      <c r="X31" s="11"/>
      <c r="Y31" s="22"/>
      <c r="Z31" s="23"/>
      <c r="AA31" s="10"/>
      <c r="AB31" s="17"/>
      <c r="AC31" s="15"/>
      <c r="AD31" s="10"/>
      <c r="AE31" s="15"/>
      <c r="AF31" s="10"/>
      <c r="AG31" s="15"/>
      <c r="AH31" s="11"/>
      <c r="AI31" s="10"/>
      <c r="AJ31" s="15"/>
      <c r="AK31" s="15"/>
      <c r="AL31" s="11"/>
      <c r="AM31" s="22"/>
      <c r="AN31" s="16"/>
      <c r="AO31" s="10"/>
      <c r="AP31" s="17"/>
      <c r="AQ31" s="15"/>
      <c r="AR31" s="10"/>
      <c r="AS31" s="25"/>
      <c r="AT31" s="26"/>
      <c r="AU31" s="25"/>
      <c r="AV31" s="11"/>
      <c r="AW31" s="10"/>
    </row>
    <row r="32" ht="15.6" spans="1:49">
      <c r="A32" s="7">
        <v>30</v>
      </c>
      <c r="B32" s="8" t="s">
        <v>81</v>
      </c>
      <c r="C32" s="9"/>
      <c r="D32" s="10"/>
      <c r="E32" s="9"/>
      <c r="F32" s="11"/>
      <c r="G32" s="10"/>
      <c r="H32" s="9"/>
      <c r="I32" s="9"/>
      <c r="J32" s="11"/>
      <c r="K32" s="15"/>
      <c r="L32" s="16"/>
      <c r="M32" s="10"/>
      <c r="N32" s="17"/>
      <c r="O32" s="15"/>
      <c r="P32" s="10"/>
      <c r="Q32" s="9"/>
      <c r="R32" s="10"/>
      <c r="S32" s="9"/>
      <c r="T32" s="11"/>
      <c r="U32" s="10"/>
      <c r="V32" s="9"/>
      <c r="W32" s="19"/>
      <c r="X32" s="11"/>
      <c r="Y32" s="22"/>
      <c r="Z32" s="23"/>
      <c r="AA32" s="10"/>
      <c r="AB32" s="17"/>
      <c r="AC32" s="15"/>
      <c r="AD32" s="10"/>
      <c r="AE32" s="15"/>
      <c r="AF32" s="10"/>
      <c r="AG32" s="15"/>
      <c r="AH32" s="11"/>
      <c r="AI32" s="10"/>
      <c r="AJ32" s="15"/>
      <c r="AK32" s="15"/>
      <c r="AL32" s="11"/>
      <c r="AM32" s="22"/>
      <c r="AN32" s="16"/>
      <c r="AO32" s="10"/>
      <c r="AP32" s="17"/>
      <c r="AQ32" s="15"/>
      <c r="AR32" s="10"/>
      <c r="AS32" s="25"/>
      <c r="AT32" s="26"/>
      <c r="AU32" s="25"/>
      <c r="AV32" s="11"/>
      <c r="AW32" s="10"/>
    </row>
    <row r="33" ht="15.6" spans="1:49">
      <c r="A33" s="7">
        <v>31</v>
      </c>
      <c r="B33" s="8" t="s">
        <v>82</v>
      </c>
      <c r="C33" s="9"/>
      <c r="D33" s="10"/>
      <c r="E33" s="9"/>
      <c r="F33" s="11"/>
      <c r="G33" s="10"/>
      <c r="H33" s="9"/>
      <c r="I33" s="9"/>
      <c r="J33" s="11"/>
      <c r="K33" s="15"/>
      <c r="L33" s="16"/>
      <c r="M33" s="10"/>
      <c r="N33" s="17"/>
      <c r="O33" s="15"/>
      <c r="P33" s="10"/>
      <c r="Q33" s="9"/>
      <c r="R33" s="10"/>
      <c r="S33" s="9"/>
      <c r="T33" s="11"/>
      <c r="U33" s="10"/>
      <c r="V33" s="9"/>
      <c r="W33" s="19"/>
      <c r="X33" s="11"/>
      <c r="Y33" s="22"/>
      <c r="Z33" s="23"/>
      <c r="AA33" s="10"/>
      <c r="AB33" s="17"/>
      <c r="AC33" s="15"/>
      <c r="AD33" s="10"/>
      <c r="AE33" s="15"/>
      <c r="AF33" s="10"/>
      <c r="AG33" s="15"/>
      <c r="AH33" s="11"/>
      <c r="AI33" s="10"/>
      <c r="AJ33" s="15"/>
      <c r="AK33" s="15"/>
      <c r="AL33" s="11"/>
      <c r="AM33" s="22"/>
      <c r="AN33" s="16"/>
      <c r="AO33" s="10"/>
      <c r="AP33" s="17"/>
      <c r="AQ33" s="15"/>
      <c r="AR33" s="10"/>
      <c r="AS33" s="25"/>
      <c r="AT33" s="26"/>
      <c r="AU33" s="25"/>
      <c r="AV33" s="11"/>
      <c r="AW33" s="10"/>
    </row>
    <row r="34" ht="15.6" spans="1:49">
      <c r="A34" s="7">
        <v>32</v>
      </c>
      <c r="B34" s="8" t="s">
        <v>83</v>
      </c>
      <c r="C34" s="9"/>
      <c r="D34" s="10"/>
      <c r="E34" s="9"/>
      <c r="F34" s="11"/>
      <c r="G34" s="10"/>
      <c r="H34" s="9"/>
      <c r="I34" s="9"/>
      <c r="J34" s="11"/>
      <c r="K34" s="15"/>
      <c r="L34" s="16"/>
      <c r="M34" s="10"/>
      <c r="N34" s="17"/>
      <c r="O34" s="15"/>
      <c r="P34" s="10"/>
      <c r="Q34" s="9"/>
      <c r="R34" s="10"/>
      <c r="S34" s="9"/>
      <c r="T34" s="11"/>
      <c r="U34" s="10"/>
      <c r="V34" s="9"/>
      <c r="W34" s="19"/>
      <c r="X34" s="11"/>
      <c r="Y34" s="22"/>
      <c r="Z34" s="23"/>
      <c r="AA34" s="10"/>
      <c r="AB34" s="17"/>
      <c r="AC34" s="15"/>
      <c r="AD34" s="10"/>
      <c r="AE34" s="15"/>
      <c r="AF34" s="10"/>
      <c r="AG34" s="15"/>
      <c r="AH34" s="11"/>
      <c r="AI34" s="10"/>
      <c r="AJ34" s="15"/>
      <c r="AK34" s="15"/>
      <c r="AL34" s="11"/>
      <c r="AM34" s="22"/>
      <c r="AN34" s="16"/>
      <c r="AO34" s="10"/>
      <c r="AP34" s="17"/>
      <c r="AQ34" s="15"/>
      <c r="AR34" s="10"/>
      <c r="AS34" s="25"/>
      <c r="AT34" s="26"/>
      <c r="AU34" s="25"/>
      <c r="AV34" s="11"/>
      <c r="AW34" s="10"/>
    </row>
    <row r="35" ht="15.6" spans="1:49">
      <c r="A35" s="7"/>
      <c r="B35" s="8" t="s">
        <v>84</v>
      </c>
      <c r="C35" s="9">
        <v>294.4742133867</v>
      </c>
      <c r="D35" s="10"/>
      <c r="E35" s="9">
        <v>210.1604536914</v>
      </c>
      <c r="F35" s="11">
        <v>0.401187560334765</v>
      </c>
      <c r="G35" s="10"/>
      <c r="H35" s="9">
        <v>400.3510462229</v>
      </c>
      <c r="I35" s="9">
        <v>377.2234277236</v>
      </c>
      <c r="J35" s="11">
        <v>0.0613101329333288</v>
      </c>
      <c r="K35" s="15">
        <v>2250.0441950098</v>
      </c>
      <c r="L35" s="16">
        <v>0.122590002018191</v>
      </c>
      <c r="M35" s="10"/>
      <c r="N35" s="17">
        <v>0.0934028114458813</v>
      </c>
      <c r="O35" s="15">
        <v>2.91871905723093</v>
      </c>
      <c r="P35" s="10"/>
      <c r="Q35" s="9">
        <v>196.357530777</v>
      </c>
      <c r="R35" s="10"/>
      <c r="S35" s="9">
        <v>119.8674656953</v>
      </c>
      <c r="T35" s="11">
        <v>0.638121984460202</v>
      </c>
      <c r="U35" s="10"/>
      <c r="V35" s="9">
        <v>96.5999237796</v>
      </c>
      <c r="W35" s="19">
        <v>82.4756266126</v>
      </c>
      <c r="X35" s="11">
        <v>0.17125419650758</v>
      </c>
      <c r="Y35" s="22" t="s">
        <v>85</v>
      </c>
      <c r="Z35" s="23">
        <v>0.338781376310062</v>
      </c>
      <c r="AA35" s="10"/>
      <c r="AB35" s="17">
        <v>0.242228059000459</v>
      </c>
      <c r="AC35" s="15">
        <v>9.65533173096036</v>
      </c>
      <c r="AD35" s="10"/>
      <c r="AE35" s="15">
        <v>98.1166826097</v>
      </c>
      <c r="AF35" s="10"/>
      <c r="AG35" s="15">
        <v>90.2929879961</v>
      </c>
      <c r="AH35" s="11">
        <v>0.0866478647703843</v>
      </c>
      <c r="AI35" s="10"/>
      <c r="AJ35" s="15">
        <v>303.7511224433</v>
      </c>
      <c r="AK35" s="15">
        <v>294.747801111</v>
      </c>
      <c r="AL35" s="11">
        <v>0.0305458473256239</v>
      </c>
      <c r="AM35" s="22" t="s">
        <v>85</v>
      </c>
      <c r="AN35" s="16">
        <v>0.0538361152492614</v>
      </c>
      <c r="AO35" s="10"/>
      <c r="AP35" s="17">
        <v>0.0510566364734848</v>
      </c>
      <c r="AQ35" s="15">
        <v>0.277947877577656</v>
      </c>
      <c r="AR35" s="10"/>
      <c r="AS35" s="25">
        <v>8.6535791266</v>
      </c>
      <c r="AT35" s="26">
        <v>0.0216149781753837</v>
      </c>
      <c r="AU35" s="25">
        <v>4.959660022</v>
      </c>
      <c r="AV35" s="11">
        <v>0.744792806001733</v>
      </c>
      <c r="AW35" s="10"/>
    </row>
    <row r="36" ht="15.6" spans="1:49">
      <c r="A36" s="7"/>
      <c r="B36" s="8" t="s">
        <v>86</v>
      </c>
      <c r="C36" s="9">
        <v>91.4006850101</v>
      </c>
      <c r="D36" s="10"/>
      <c r="E36" s="9">
        <v>60.4302536982</v>
      </c>
      <c r="F36" s="11">
        <v>0.512498780272744</v>
      </c>
      <c r="G36" s="10"/>
      <c r="H36" s="9">
        <v>138.9128403683</v>
      </c>
      <c r="I36" s="9">
        <v>134.2146331907</v>
      </c>
      <c r="J36" s="11">
        <v>0.035005178391573</v>
      </c>
      <c r="K36" s="15">
        <v>803.8260643019</v>
      </c>
      <c r="L36" s="16">
        <v>0.109661910744139</v>
      </c>
      <c r="M36" s="10"/>
      <c r="N36" s="17">
        <v>0.0751782709990649</v>
      </c>
      <c r="O36" s="15">
        <v>3.4483639745074</v>
      </c>
      <c r="P36" s="10"/>
      <c r="Q36" s="9">
        <v>73.6654302297</v>
      </c>
      <c r="R36" s="10"/>
      <c r="S36" s="9">
        <v>45.4390098259</v>
      </c>
      <c r="T36" s="11">
        <v>0.621193562798789</v>
      </c>
      <c r="U36" s="10"/>
      <c r="V36" s="9">
        <v>49.3332202842</v>
      </c>
      <c r="W36" s="19">
        <v>46.5398817332</v>
      </c>
      <c r="X36" s="11">
        <v>0.0600203190677069</v>
      </c>
      <c r="Y36" s="22" t="s">
        <v>85</v>
      </c>
      <c r="Z36" s="23">
        <v>0.248870267017257</v>
      </c>
      <c r="AA36" s="10"/>
      <c r="AB36" s="17">
        <v>0.162724270502695</v>
      </c>
      <c r="AC36" s="15">
        <v>8.61459965145618</v>
      </c>
      <c r="AD36" s="10"/>
      <c r="AE36" s="15">
        <v>17.7352547804</v>
      </c>
      <c r="AF36" s="10"/>
      <c r="AG36" s="15">
        <v>14.9912438723</v>
      </c>
      <c r="AH36" s="11">
        <v>0.18304090917834</v>
      </c>
      <c r="AI36" s="10"/>
      <c r="AJ36" s="15">
        <v>89.5796200841</v>
      </c>
      <c r="AK36" s="15">
        <v>87.6747514575</v>
      </c>
      <c r="AL36" s="11">
        <v>0.0217265358034504</v>
      </c>
      <c r="AM36" s="22" t="s">
        <v>85</v>
      </c>
      <c r="AN36" s="16">
        <v>0.0329971905881971</v>
      </c>
      <c r="AO36" s="10"/>
      <c r="AP36" s="17">
        <v>0.0284978355096278</v>
      </c>
      <c r="AQ36" s="15">
        <v>0.44993550785693</v>
      </c>
      <c r="AR36" s="10"/>
      <c r="AS36" s="25">
        <v>2.8238118565</v>
      </c>
      <c r="AT36" s="26">
        <v>0.0203279398003325</v>
      </c>
      <c r="AU36" s="25">
        <v>1.9559204826</v>
      </c>
      <c r="AV36" s="11">
        <v>0.443725285164105</v>
      </c>
      <c r="AW36" s="10"/>
    </row>
  </sheetData>
  <autoFilter ref="A2:AW36">
    <filterColumn colId="1">
      <filters>
        <filter val="上海"/>
        <filter val="湖南"/>
        <filter val="广东"/>
        <filter val="四川"/>
        <filter val="安徽"/>
        <filter val="浙江"/>
        <filter val="江苏"/>
      </filters>
    </filterColumn>
    <extLst/>
  </autoFilter>
  <mergeCells count="4">
    <mergeCell ref="C1:P1"/>
    <mergeCell ref="Q1:AD1"/>
    <mergeCell ref="AE1:AR1"/>
    <mergeCell ref="AS1:AW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2026-03-11T09:42:00Z</dcterms:created>
  <dcterms:modified xsi:type="dcterms:W3CDTF">2026-04-20T11:32:51Z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7E91E199FA5C40E9B589DA95FEADF120</vt:lpwstr>
  </property>
  <property fmtid="{D5CDD505-2E9C-101B-9397-08002B2CF9AE}" pid="3" name="KSOProductBuildVer">
    <vt:lpwstr>2052-12.8.2.15091</vt:lpwstr>
  </property>
</Properties>
</file>