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6603" windowHeight="12935"/>
  </bookViews>
  <sheets>
    <sheet name="2026年1月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</externalReferences>
  <definedNames>
    <definedName name="_xlnm._FilterDatabase" localSheetId="0" hidden="1">'2026年1月'!$A$4:$BE$28</definedName>
  </definedNames>
  <calcPr calcId="144525"/>
</workbook>
</file>

<file path=xl/sharedStrings.xml><?xml version="1.0" encoding="utf-8"?>
<sst xmlns="http://schemas.openxmlformats.org/spreadsheetml/2006/main" count="102" uniqueCount="87">
  <si>
    <t>2026年1月市州应收账款情况表</t>
  </si>
  <si>
    <t>序号</t>
  </si>
  <si>
    <t>单位</t>
  </si>
  <si>
    <t>2025年收入完成（不含云及IDC直销收入）</t>
  </si>
  <si>
    <t>2026年收入预算（不含云及IDC运营中心直销客户的IDC收入）</t>
  </si>
  <si>
    <t>应收账款总额占收比</t>
  </si>
  <si>
    <t>产数应收账款占产数收入比</t>
  </si>
  <si>
    <t>分资源型/ICT应收占收比
（注：资源型应收=组网专线+IDC
ICT应收=产数应收+合同资产-资源应收
资源型收入=组网专线+IDC-云锦IDC收入
ICT应收=产数收入-组网专线-IDC）</t>
  </si>
  <si>
    <t>基础应收账款占基础收入比</t>
  </si>
  <si>
    <t>一年以上应收账款占应收总额比</t>
  </si>
  <si>
    <t>一年以上产数应收</t>
  </si>
  <si>
    <t>预收账款占收比</t>
  </si>
  <si>
    <t>本期坏账计提</t>
  </si>
  <si>
    <t>营业收现率</t>
  </si>
  <si>
    <t>收入完成</t>
  </si>
  <si>
    <t>产数收入完成</t>
  </si>
  <si>
    <t>收入</t>
  </si>
  <si>
    <t>产数收入</t>
  </si>
  <si>
    <t>收入同比</t>
  </si>
  <si>
    <t>产数收入同比</t>
  </si>
  <si>
    <t>202501
应收总额</t>
  </si>
  <si>
    <t>202601
应收总额</t>
  </si>
  <si>
    <t>应收总额同比增幅</t>
  </si>
  <si>
    <t>202501
占收比</t>
  </si>
  <si>
    <t>202601
占收比</t>
  </si>
  <si>
    <t>排名</t>
  </si>
  <si>
    <t>占收比同比</t>
  </si>
  <si>
    <t>202501
应收产数</t>
  </si>
  <si>
    <t>202601
应收产数</t>
  </si>
  <si>
    <t>产数应收账款增幅</t>
  </si>
  <si>
    <t>202501
产数占收比</t>
  </si>
  <si>
    <t>202601
产数占收比</t>
  </si>
  <si>
    <t>产数占收比同比</t>
  </si>
  <si>
    <t>202601资源型应收账款总额</t>
  </si>
  <si>
    <t>202601产数ICT应收账款总额</t>
  </si>
  <si>
    <t>202601资源型收入（剔除云锦IDC收入）</t>
  </si>
  <si>
    <t>202601产数ICT收入</t>
  </si>
  <si>
    <t>202601资源型应收占收比</t>
  </si>
  <si>
    <t>202601产数ICT应收占收比</t>
  </si>
  <si>
    <t>202501
基础应收</t>
  </si>
  <si>
    <t>202601
基础应收</t>
  </si>
  <si>
    <t>基础应收同比增幅</t>
  </si>
  <si>
    <t>202501
基础占收比</t>
  </si>
  <si>
    <t>202601
基础占收比</t>
  </si>
  <si>
    <t>基础占收比同比</t>
  </si>
  <si>
    <t>202501
一年以上应收</t>
  </si>
  <si>
    <t>202601
一年以上应收</t>
  </si>
  <si>
    <t>一年以上同比增幅</t>
  </si>
  <si>
    <t>202501
一年以上占应收总额比</t>
  </si>
  <si>
    <t>202601
一年以上占应收总额比</t>
  </si>
  <si>
    <t>202501一年以上产数应收</t>
  </si>
  <si>
    <t>202601一年以上产数应收</t>
  </si>
  <si>
    <t>202601一年以上产数应收账款结构占比</t>
  </si>
  <si>
    <t>202601一年以上产数应收同比增幅</t>
  </si>
  <si>
    <t>202501
预收账款总额</t>
  </si>
  <si>
    <t>202601
预收账款总额</t>
  </si>
  <si>
    <t>同比增幅</t>
  </si>
  <si>
    <t>202501本年坏账计提</t>
  </si>
  <si>
    <t>202601本年坏账计提</t>
  </si>
  <si>
    <t>202501本年坏账计提占应收比</t>
  </si>
  <si>
    <t>202601本年坏账计提占应收比</t>
  </si>
  <si>
    <t>202501经营活动现金流入完成</t>
  </si>
  <si>
    <t>202601经营活动现金流入完成</t>
  </si>
  <si>
    <t>202501营业收现率</t>
  </si>
  <si>
    <t>202601营业收现率</t>
  </si>
  <si>
    <t>成都</t>
  </si>
  <si>
    <t>绵阳</t>
  </si>
  <si>
    <t>南充</t>
  </si>
  <si>
    <t>泸州</t>
  </si>
  <si>
    <t>凉山</t>
  </si>
  <si>
    <t>宜宾</t>
  </si>
  <si>
    <t>达州</t>
  </si>
  <si>
    <t>乐山</t>
  </si>
  <si>
    <t>眉山</t>
  </si>
  <si>
    <t>德阳</t>
  </si>
  <si>
    <t>内江</t>
  </si>
  <si>
    <t>巴中</t>
  </si>
  <si>
    <t>广安</t>
  </si>
  <si>
    <t>自贡</t>
  </si>
  <si>
    <t>广元</t>
  </si>
  <si>
    <t>遂宁</t>
  </si>
  <si>
    <t>资阳</t>
  </si>
  <si>
    <t>甘孜</t>
  </si>
  <si>
    <t>雅安</t>
  </si>
  <si>
    <t>阿坝</t>
  </si>
  <si>
    <t>攀枝花</t>
  </si>
  <si>
    <t>市州合计</t>
  </si>
</sst>
</file>

<file path=xl/styles.xml><?xml version="1.0" encoding="utf-8"?>
<styleSheet xmlns="http://schemas.openxmlformats.org/spreadsheetml/2006/main" xmlns:xr9="http://schemas.microsoft.com/office/spreadsheetml/2016/revision9">
  <numFmts count="10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_([$€-2]* #,##0.00000_);_([$€-2]* \(#,##0.00000\);_([$€-2]* &quot;-&quot;??_)"/>
    <numFmt numFmtId="177" formatCode="_ * #,##0_ ;_ * \-#,##0_ ;_ * &quot;-&quot;??_ ;_ @_ "/>
    <numFmt numFmtId="178" formatCode="#,##0_ ;[Red]\-#,##0\ "/>
    <numFmt numFmtId="179" formatCode="#,##0_ "/>
    <numFmt numFmtId="180" formatCode="0_ "/>
    <numFmt numFmtId="181" formatCode="0.0%"/>
  </numFmts>
  <fonts count="30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b/>
      <sz val="16"/>
      <name val="微软雅黑"/>
      <charset val="134"/>
    </font>
    <font>
      <b/>
      <sz val="10"/>
      <color indexed="8"/>
      <name val="微软雅黑"/>
      <charset val="134"/>
    </font>
    <font>
      <sz val="10"/>
      <name val="微软雅黑"/>
      <charset val="134"/>
    </font>
    <font>
      <sz val="10"/>
      <color theme="1"/>
      <name val="微软雅黑"/>
      <charset val="134"/>
    </font>
    <font>
      <b/>
      <sz val="10"/>
      <name val="微软雅黑"/>
      <charset val="134"/>
    </font>
    <font>
      <b/>
      <sz val="12"/>
      <name val="微软雅黑"/>
      <charset val="134"/>
    </font>
    <font>
      <b/>
      <sz val="8"/>
      <name val="微软雅黑"/>
      <charset val="134"/>
    </font>
    <font>
      <b/>
      <sz val="10"/>
      <color theme="1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2"/>
      <name val="宋体"/>
      <charset val="134"/>
    </font>
  </fonts>
  <fills count="38">
    <fill>
      <patternFill patternType="none"/>
    </fill>
    <fill>
      <patternFill patternType="gray125"/>
    </fill>
    <fill>
      <patternFill patternType="solid">
        <fgColor theme="4" tint="0.599993896298105"/>
        <bgColor indexed="64"/>
      </patternFill>
    </fill>
    <fill>
      <patternFill patternType="solid">
        <fgColor theme="5" tint="0.799890133365886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4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0" fillId="8" borderId="7" applyNumberFormat="0" applyFont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9" borderId="10" applyNumberFormat="0" applyAlignment="0" applyProtection="0">
      <alignment vertical="center"/>
    </xf>
    <xf numFmtId="0" fontId="19" fillId="10" borderId="11" applyNumberFormat="0" applyAlignment="0" applyProtection="0">
      <alignment vertical="center"/>
    </xf>
    <xf numFmtId="0" fontId="20" fillId="10" borderId="10" applyNumberFormat="0" applyAlignment="0" applyProtection="0">
      <alignment vertical="center"/>
    </xf>
    <xf numFmtId="0" fontId="21" fillId="11" borderId="12" applyNumberFormat="0" applyAlignment="0" applyProtection="0">
      <alignment vertical="center"/>
    </xf>
    <xf numFmtId="0" fontId="22" fillId="0" borderId="13" applyNumberFormat="0" applyFill="0" applyAlignment="0" applyProtection="0">
      <alignment vertical="center"/>
    </xf>
    <xf numFmtId="0" fontId="23" fillId="0" borderId="14" applyNumberFormat="0" applyFill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6" fillId="14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8" fillId="16" borderId="0" applyNumberFormat="0" applyBorder="0" applyAlignment="0" applyProtection="0">
      <alignment vertical="center"/>
    </xf>
    <xf numFmtId="0" fontId="28" fillId="2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8" fillId="19" borderId="0" applyNumberFormat="0" applyBorder="0" applyAlignment="0" applyProtection="0">
      <alignment vertical="center"/>
    </xf>
    <xf numFmtId="0" fontId="28" fillId="20" borderId="0" applyNumberFormat="0" applyBorder="0" applyAlignment="0" applyProtection="0">
      <alignment vertical="center"/>
    </xf>
    <xf numFmtId="0" fontId="27" fillId="21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8" fillId="23" borderId="0" applyNumberFormat="0" applyBorder="0" applyAlignment="0" applyProtection="0">
      <alignment vertical="center"/>
    </xf>
    <xf numFmtId="0" fontId="28" fillId="24" borderId="0" applyNumberFormat="0" applyBorder="0" applyAlignment="0" applyProtection="0">
      <alignment vertical="center"/>
    </xf>
    <xf numFmtId="0" fontId="27" fillId="25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8" fillId="27" borderId="0" applyNumberFormat="0" applyBorder="0" applyAlignment="0" applyProtection="0">
      <alignment vertical="center"/>
    </xf>
    <xf numFmtId="0" fontId="28" fillId="28" borderId="0" applyNumberFormat="0" applyBorder="0" applyAlignment="0" applyProtection="0">
      <alignment vertical="center"/>
    </xf>
    <xf numFmtId="0" fontId="27" fillId="29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8" fillId="31" borderId="0" applyNumberFormat="0" applyBorder="0" applyAlignment="0" applyProtection="0">
      <alignment vertical="center"/>
    </xf>
    <xf numFmtId="0" fontId="28" fillId="32" borderId="0" applyNumberFormat="0" applyBorder="0" applyAlignment="0" applyProtection="0">
      <alignment vertical="center"/>
    </xf>
    <xf numFmtId="0" fontId="27" fillId="33" borderId="0" applyNumberFormat="0" applyBorder="0" applyAlignment="0" applyProtection="0">
      <alignment vertical="center"/>
    </xf>
    <xf numFmtId="0" fontId="27" fillId="34" borderId="0" applyNumberFormat="0" applyBorder="0" applyAlignment="0" applyProtection="0">
      <alignment vertical="center"/>
    </xf>
    <xf numFmtId="0" fontId="28" fillId="35" borderId="0" applyNumberFormat="0" applyBorder="0" applyAlignment="0" applyProtection="0">
      <alignment vertical="center"/>
    </xf>
    <xf numFmtId="0" fontId="28" fillId="36" borderId="0" applyNumberFormat="0" applyBorder="0" applyAlignment="0" applyProtection="0">
      <alignment vertical="center"/>
    </xf>
    <xf numFmtId="0" fontId="27" fillId="37" borderId="0" applyNumberFormat="0" applyBorder="0" applyAlignment="0" applyProtection="0">
      <alignment vertical="center"/>
    </xf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29" fillId="0" borderId="0">
      <alignment vertical="center"/>
    </xf>
    <xf numFmtId="176" fontId="29" fillId="0" borderId="0">
      <alignment vertical="center"/>
    </xf>
  </cellStyleXfs>
  <cellXfs count="64">
    <xf numFmtId="0" fontId="0" fillId="0" borderId="0" xfId="0">
      <alignment vertical="center"/>
    </xf>
    <xf numFmtId="0" fontId="0" fillId="0" borderId="0" xfId="49" applyAlignment="1">
      <alignment horizontal="center" vertical="center"/>
    </xf>
    <xf numFmtId="0" fontId="1" fillId="0" borderId="0" xfId="49" applyFont="1" applyAlignment="1">
      <alignment horizontal="center" vertical="center"/>
    </xf>
    <xf numFmtId="0" fontId="0" fillId="0" borderId="0" xfId="49">
      <alignment vertical="center"/>
    </xf>
    <xf numFmtId="177" fontId="0" fillId="0" borderId="0" xfId="51" applyNumberFormat="1" applyFont="1">
      <alignment vertical="center"/>
    </xf>
    <xf numFmtId="0" fontId="2" fillId="2" borderId="1" xfId="49" applyFont="1" applyFill="1" applyBorder="1" applyAlignment="1">
      <alignment horizontal="center" vertical="center"/>
    </xf>
    <xf numFmtId="178" fontId="3" fillId="2" borderId="1" xfId="49" applyNumberFormat="1" applyFont="1" applyFill="1" applyBorder="1" applyAlignment="1">
      <alignment horizontal="center" vertical="center" wrapText="1"/>
    </xf>
    <xf numFmtId="178" fontId="3" fillId="2" borderId="2" xfId="49" applyNumberFormat="1" applyFont="1" applyFill="1" applyBorder="1" applyAlignment="1">
      <alignment horizontal="center" vertical="center" wrapText="1"/>
    </xf>
    <xf numFmtId="178" fontId="3" fillId="2" borderId="3" xfId="49" applyNumberFormat="1" applyFont="1" applyFill="1" applyBorder="1" applyAlignment="1">
      <alignment horizontal="center" vertical="center" wrapText="1"/>
    </xf>
    <xf numFmtId="178" fontId="3" fillId="2" borderId="4" xfId="49" applyNumberFormat="1" applyFont="1" applyFill="1" applyBorder="1" applyAlignment="1">
      <alignment horizontal="center" vertical="center" wrapText="1"/>
    </xf>
    <xf numFmtId="0" fontId="4" fillId="0" borderId="1" xfId="49" applyFont="1" applyBorder="1" applyAlignment="1">
      <alignment horizontal="center" vertical="center"/>
    </xf>
    <xf numFmtId="179" fontId="4" fillId="0" borderId="1" xfId="49" applyNumberFormat="1" applyFont="1" applyFill="1" applyBorder="1" applyAlignment="1">
      <alignment horizontal="center" vertical="center"/>
    </xf>
    <xf numFmtId="177" fontId="5" fillId="0" borderId="1" xfId="49" applyNumberFormat="1" applyFont="1" applyFill="1" applyBorder="1" applyAlignment="1">
      <alignment horizontal="center" vertical="center"/>
    </xf>
    <xf numFmtId="10" fontId="4" fillId="0" borderId="1" xfId="3" applyNumberFormat="1" applyFont="1" applyFill="1" applyBorder="1" applyAlignment="1">
      <alignment horizontal="center" vertical="center"/>
    </xf>
    <xf numFmtId="10" fontId="4" fillId="0" borderId="1" xfId="3" applyNumberFormat="1" applyFont="1" applyBorder="1" applyAlignment="1">
      <alignment horizontal="center" vertical="center"/>
    </xf>
    <xf numFmtId="0" fontId="6" fillId="0" borderId="1" xfId="49" applyFont="1" applyBorder="1" applyAlignment="1">
      <alignment horizontal="center" vertical="center"/>
    </xf>
    <xf numFmtId="179" fontId="6" fillId="0" borderId="1" xfId="49" applyNumberFormat="1" applyFont="1" applyFill="1" applyBorder="1" applyAlignment="1">
      <alignment horizontal="center" vertical="center"/>
    </xf>
    <xf numFmtId="179" fontId="6" fillId="0" borderId="1" xfId="49" applyNumberFormat="1" applyFont="1" applyBorder="1" applyAlignment="1">
      <alignment horizontal="center" vertical="center"/>
    </xf>
    <xf numFmtId="0" fontId="7" fillId="2" borderId="1" xfId="49" applyFont="1" applyFill="1" applyBorder="1" applyAlignment="1">
      <alignment horizontal="center" vertical="center"/>
    </xf>
    <xf numFmtId="0" fontId="7" fillId="2" borderId="1" xfId="52" applyFont="1" applyFill="1" applyBorder="1" applyAlignment="1">
      <alignment horizontal="center" vertical="center"/>
    </xf>
    <xf numFmtId="0" fontId="4" fillId="3" borderId="1" xfId="49" applyFont="1" applyFill="1" applyBorder="1" applyAlignment="1">
      <alignment horizontal="center" vertical="center" wrapText="1"/>
    </xf>
    <xf numFmtId="0" fontId="4" fillId="2" borderId="1" xfId="49" applyFont="1" applyFill="1" applyBorder="1" applyAlignment="1">
      <alignment horizontal="center" vertical="center" wrapText="1"/>
    </xf>
    <xf numFmtId="0" fontId="6" fillId="4" borderId="1" xfId="49" applyFont="1" applyFill="1" applyBorder="1" applyAlignment="1">
      <alignment horizontal="center" vertical="center" wrapText="1"/>
    </xf>
    <xf numFmtId="179" fontId="4" fillId="5" borderId="1" xfId="49" applyNumberFormat="1" applyFont="1" applyFill="1" applyBorder="1" applyAlignment="1">
      <alignment horizontal="center" vertical="center"/>
    </xf>
    <xf numFmtId="10" fontId="4" fillId="0" borderId="1" xfId="49" applyNumberFormat="1" applyFont="1" applyBorder="1" applyAlignment="1">
      <alignment horizontal="center" vertical="center"/>
    </xf>
    <xf numFmtId="177" fontId="4" fillId="0" borderId="1" xfId="50" applyNumberFormat="1" applyFont="1" applyBorder="1" applyAlignment="1">
      <alignment horizontal="center" vertical="center"/>
    </xf>
    <xf numFmtId="10" fontId="6" fillId="0" borderId="1" xfId="49" applyNumberFormat="1" applyFont="1" applyBorder="1" applyAlignment="1">
      <alignment horizontal="center" vertical="center"/>
    </xf>
    <xf numFmtId="177" fontId="8" fillId="2" borderId="2" xfId="51" applyNumberFormat="1" applyFont="1" applyFill="1" applyBorder="1" applyAlignment="1">
      <alignment horizontal="center" vertical="center" wrapText="1"/>
    </xf>
    <xf numFmtId="177" fontId="8" fillId="2" borderId="3" xfId="51" applyNumberFormat="1" applyFont="1" applyFill="1" applyBorder="1" applyAlignment="1">
      <alignment horizontal="center" vertical="center"/>
    </xf>
    <xf numFmtId="177" fontId="4" fillId="2" borderId="5" xfId="51" applyNumberFormat="1" applyFont="1" applyFill="1" applyBorder="1" applyAlignment="1">
      <alignment horizontal="center" vertical="center" wrapText="1"/>
    </xf>
    <xf numFmtId="177" fontId="4" fillId="2" borderId="6" xfId="51" applyNumberFormat="1" applyFont="1" applyFill="1" applyBorder="1" applyAlignment="1">
      <alignment horizontal="center" vertical="center" wrapText="1"/>
    </xf>
    <xf numFmtId="177" fontId="4" fillId="0" borderId="1" xfId="51" applyNumberFormat="1" applyFont="1" applyBorder="1" applyAlignment="1">
      <alignment horizontal="center" vertical="center"/>
    </xf>
    <xf numFmtId="10" fontId="6" fillId="6" borderId="1" xfId="49" applyNumberFormat="1" applyFont="1" applyFill="1" applyBorder="1" applyAlignment="1">
      <alignment horizontal="center" vertical="center"/>
    </xf>
    <xf numFmtId="180" fontId="6" fillId="0" borderId="1" xfId="49" applyNumberFormat="1" applyFont="1" applyBorder="1" applyAlignment="1">
      <alignment horizontal="center" vertical="center"/>
    </xf>
    <xf numFmtId="177" fontId="8" fillId="2" borderId="4" xfId="51" applyNumberFormat="1" applyFont="1" applyFill="1" applyBorder="1" applyAlignment="1">
      <alignment horizontal="center" vertical="center"/>
    </xf>
    <xf numFmtId="0" fontId="4" fillId="2" borderId="5" xfId="49" applyFont="1" applyFill="1" applyBorder="1" applyAlignment="1">
      <alignment horizontal="center" vertical="center" wrapText="1"/>
    </xf>
    <xf numFmtId="0" fontId="4" fillId="2" borderId="6" xfId="49" applyFont="1" applyFill="1" applyBorder="1" applyAlignment="1">
      <alignment horizontal="center" vertical="center" wrapText="1"/>
    </xf>
    <xf numFmtId="177" fontId="4" fillId="7" borderId="1" xfId="51" applyNumberFormat="1" applyFont="1" applyFill="1" applyBorder="1" applyAlignment="1">
      <alignment horizontal="center" vertical="center"/>
    </xf>
    <xf numFmtId="180" fontId="4" fillId="5" borderId="1" xfId="49" applyNumberFormat="1" applyFont="1" applyFill="1" applyBorder="1" applyAlignment="1">
      <alignment horizontal="center" vertical="center"/>
    </xf>
    <xf numFmtId="3" fontId="0" fillId="0" borderId="0" xfId="49" applyNumberFormat="1">
      <alignment vertical="center"/>
    </xf>
    <xf numFmtId="0" fontId="7" fillId="2" borderId="2" xfId="49" applyFont="1" applyFill="1" applyBorder="1" applyAlignment="1">
      <alignment horizontal="center" vertical="center"/>
    </xf>
    <xf numFmtId="0" fontId="7" fillId="2" borderId="3" xfId="49" applyFont="1" applyFill="1" applyBorder="1" applyAlignment="1">
      <alignment horizontal="center" vertical="center"/>
    </xf>
    <xf numFmtId="0" fontId="7" fillId="2" borderId="4" xfId="49" applyFont="1" applyFill="1" applyBorder="1" applyAlignment="1">
      <alignment horizontal="center" vertical="center"/>
    </xf>
    <xf numFmtId="0" fontId="7" fillId="2" borderId="2" xfId="52" applyFont="1" applyFill="1" applyBorder="1" applyAlignment="1">
      <alignment horizontal="center" vertical="center"/>
    </xf>
    <xf numFmtId="0" fontId="7" fillId="2" borderId="3" xfId="52" applyFont="1" applyFill="1" applyBorder="1" applyAlignment="1">
      <alignment horizontal="center" vertical="center"/>
    </xf>
    <xf numFmtId="177" fontId="5" fillId="5" borderId="1" xfId="49" applyNumberFormat="1" applyFont="1" applyFill="1" applyBorder="1" applyAlignment="1">
      <alignment horizontal="center" vertical="center"/>
    </xf>
    <xf numFmtId="181" fontId="5" fillId="0" borderId="1" xfId="3" applyNumberFormat="1" applyFont="1" applyFill="1" applyBorder="1" applyAlignment="1">
      <alignment horizontal="center" vertical="center"/>
    </xf>
    <xf numFmtId="177" fontId="5" fillId="0" borderId="1" xfId="50" applyNumberFormat="1" applyFont="1" applyFill="1" applyBorder="1" applyAlignment="1">
      <alignment horizontal="center" vertical="center"/>
    </xf>
    <xf numFmtId="177" fontId="9" fillId="0" borderId="1" xfId="49" applyNumberFormat="1" applyFont="1" applyBorder="1" applyAlignment="1">
      <alignment horizontal="center" vertical="center"/>
    </xf>
    <xf numFmtId="181" fontId="9" fillId="0" borderId="1" xfId="3" applyNumberFormat="1" applyFont="1" applyFill="1" applyBorder="1" applyAlignment="1">
      <alignment horizontal="center" vertical="center"/>
    </xf>
    <xf numFmtId="0" fontId="7" fillId="2" borderId="4" xfId="52" applyFont="1" applyFill="1" applyBorder="1" applyAlignment="1">
      <alignment horizontal="center" vertical="center"/>
    </xf>
    <xf numFmtId="0" fontId="4" fillId="2" borderId="1" xfId="52" applyFont="1" applyFill="1" applyBorder="1" applyAlignment="1">
      <alignment horizontal="center" vertical="center" wrapText="1"/>
    </xf>
    <xf numFmtId="181" fontId="5" fillId="0" borderId="1" xfId="3" applyNumberFormat="1" applyFont="1" applyBorder="1" applyAlignment="1">
      <alignment horizontal="center" vertical="center"/>
    </xf>
    <xf numFmtId="177" fontId="5" fillId="0" borderId="1" xfId="50" applyNumberFormat="1" applyFont="1" applyBorder="1" applyAlignment="1">
      <alignment vertical="center"/>
    </xf>
    <xf numFmtId="181" fontId="9" fillId="0" borderId="1" xfId="3" applyNumberFormat="1" applyFont="1" applyBorder="1" applyAlignment="1">
      <alignment horizontal="center" vertical="center"/>
    </xf>
    <xf numFmtId="177" fontId="4" fillId="5" borderId="1" xfId="50" applyNumberFormat="1" applyFont="1" applyFill="1" applyBorder="1" applyAlignment="1">
      <alignment horizontal="center" vertical="center"/>
    </xf>
    <xf numFmtId="177" fontId="5" fillId="5" borderId="1" xfId="50" applyNumberFormat="1" applyFont="1" applyFill="1" applyBorder="1" applyAlignment="1">
      <alignment horizontal="center" vertical="center"/>
    </xf>
    <xf numFmtId="9" fontId="5" fillId="0" borderId="1" xfId="3" applyFont="1" applyBorder="1" applyAlignment="1">
      <alignment horizontal="center" vertical="center"/>
    </xf>
    <xf numFmtId="0" fontId="5" fillId="0" borderId="1" xfId="49" applyFont="1" applyBorder="1" applyAlignment="1">
      <alignment horizontal="center" vertical="center"/>
    </xf>
    <xf numFmtId="177" fontId="5" fillId="0" borderId="1" xfId="51" applyNumberFormat="1" applyFont="1" applyBorder="1" applyAlignment="1">
      <alignment horizontal="center" vertical="center"/>
    </xf>
    <xf numFmtId="177" fontId="9" fillId="0" borderId="1" xfId="50" applyNumberFormat="1" applyFont="1" applyBorder="1" applyAlignment="1">
      <alignment horizontal="center" vertical="center"/>
    </xf>
    <xf numFmtId="9" fontId="9" fillId="0" borderId="1" xfId="3" applyFont="1" applyBorder="1" applyAlignment="1">
      <alignment horizontal="center" vertical="center"/>
    </xf>
    <xf numFmtId="0" fontId="1" fillId="0" borderId="1" xfId="49" applyFont="1" applyBorder="1" applyAlignment="1">
      <alignment horizontal="center" vertical="center"/>
    </xf>
    <xf numFmtId="177" fontId="5" fillId="0" borderId="1" xfId="3" applyNumberFormat="1" applyFont="1" applyBorder="1" applyAlignment="1">
      <alignment horizontal="center" vertical="center"/>
    </xf>
  </cellXfs>
  <cellStyles count="54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6" xfId="49"/>
    <cellStyle name="千位分隔 2" xfId="50"/>
    <cellStyle name="千位分隔 3" xfId="51"/>
    <cellStyle name="常规 5" xfId="52"/>
    <cellStyle name="常规 4 3" xfId="53"/>
  </cellStyles>
  <dxfs count="1"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externalLink" Target="externalLinks/externalLink8.xml"/><Relationship Id="rId8" Type="http://schemas.openxmlformats.org/officeDocument/2006/relationships/externalLink" Target="externalLinks/externalLink7.xml"/><Relationship Id="rId7" Type="http://schemas.openxmlformats.org/officeDocument/2006/relationships/externalLink" Target="externalLinks/externalLink6.xml"/><Relationship Id="rId6" Type="http://schemas.openxmlformats.org/officeDocument/2006/relationships/externalLink" Target="externalLinks/externalLink5.xml"/><Relationship Id="rId5" Type="http://schemas.openxmlformats.org/officeDocument/2006/relationships/externalLink" Target="externalLinks/externalLink4.xml"/><Relationship Id="rId4" Type="http://schemas.openxmlformats.org/officeDocument/2006/relationships/externalLink" Target="externalLinks/externalLink3.xml"/><Relationship Id="rId3" Type="http://schemas.openxmlformats.org/officeDocument/2006/relationships/externalLink" Target="externalLinks/externalLink2.xml"/><Relationship Id="rId2" Type="http://schemas.openxmlformats.org/officeDocument/2006/relationships/externalLink" Target="externalLinks/externalLink1.xml"/><Relationship Id="rId13" Type="http://schemas.openxmlformats.org/officeDocument/2006/relationships/sharedStrings" Target="sharedStrings.xml"/><Relationship Id="rId12" Type="http://schemas.openxmlformats.org/officeDocument/2006/relationships/styles" Target="styles.xml"/><Relationship Id="rId11" Type="http://schemas.openxmlformats.org/officeDocument/2006/relationships/theme" Target="theme/theme1.xml"/><Relationship Id="rId10" Type="http://schemas.openxmlformats.org/officeDocument/2006/relationships/externalLink" Target="externalLinks/externalLink9.xml"/><Relationship Id="rId1" Type="http://schemas.openxmlformats.org/officeDocument/2006/relationships/worksheet" Target="worksheets/sheet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\Users\Wenyiling\Desktop\&#26376;&#24230;&#24037;&#20316;\0&#12289;&#36164;&#37329;&#36890;&#25253;\11&#26376;&#36164;&#37329;&#36890;&#25253;\1&#12289;&#31185;&#30446;&#20313;&#39069;&#34920;\2025&#24180;11&#26376;&#31185;&#30446;&#20313;&#39069;&#34920;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\Users\Wenyiling\Desktop\&#26376;&#24230;&#24037;&#20316;\0&#12289;&#36164;&#37329;&#36890;&#25253;\2026&#24180;1&#26376;&#36164;&#37329;&#36890;&#25253;\2025&#24180;1&#26376;&#31185;&#30446;&#20313;&#39069;&#34920;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\Users\Wenyiling\Desktop\&#26376;&#24230;&#24037;&#20316;\0&#12289;&#36164;&#37329;&#36890;&#25253;\2026&#24180;1&#26376;&#36164;&#37329;&#36890;&#25253;\2026&#24180;1&#26376;&#31185;&#30446;&#20313;&#39069;&#34920;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\Users\Wenyiling\Downloads\&#26597;&#35810;&#32467;&#26524;(2026&#24180;1&#26376;)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\Users\Wenyiling\Downloads\&#26597;&#35810;&#32467;&#26524;(2025&#24180;1&#26376;)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\Users\Wenyiling\Downloads\&#26597;&#35810;&#32467;&#26524;(2026&#24180;1&#26376;)&#20135;&#25968;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\Users\Wenyiling\Downloads\&#26597;&#35810;&#32467;&#26524;(2025&#24180;1&#26376;)&#20135;&#25968;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\Users\Wenyiling\Desktop\&#26376;&#24230;&#24037;&#20316;\0&#12289;&#36164;&#37329;&#36890;&#25253;\2026&#24180;1&#26376;&#36164;&#37329;&#36890;&#25253;\&#33829;&#19994;&#25910;&#29616;&#29575;\&#38598;&#22242;&#22806;&#33829;&#19994;&#25910;&#29616;&#29575;-2025.1.xlsx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\Users\Wenyiling\Desktop\&#26376;&#24230;&#24037;&#20316;\0&#12289;&#36164;&#37329;&#36890;&#25253;\2026&#24180;1&#26376;&#36164;&#37329;&#36890;&#25253;\&#33829;&#19994;&#25910;&#29616;&#29575;\&#38598;&#22242;&#22806;&#33829;&#19994;&#25910;&#29616;&#29575;-2026.1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Sheet1"/>
      <sheetName val="计算结果表"/>
      <sheetName val="Sheet6"/>
      <sheetName val="坏账表"/>
      <sheetName val="Sheet2"/>
      <sheetName val="分ICT资源型数据"/>
      <sheetName val="11月收入报表(每月导入）"/>
      <sheetName val="202511科目余额表"/>
    </sheetNames>
    <sheetDataSet>
      <sheetData sheetId="0"/>
      <sheetData sheetId="1"/>
      <sheetData sheetId="2"/>
      <sheetData sheetId="3"/>
      <sheetData sheetId="4"/>
      <sheetData sheetId="5">
        <row r="1">
          <cell r="C1" t="str">
            <v>IDC业务款</v>
          </cell>
          <cell r="D1" t="str">
            <v>数字平台及集成业务款</v>
          </cell>
          <cell r="E1" t="str">
            <v>组网专线业务款</v>
          </cell>
          <cell r="F1" t="str">
            <v>其他</v>
          </cell>
          <cell r="G1" t="str">
            <v>合同资产</v>
          </cell>
          <cell r="H1" t="str">
            <v>产数ICT应收账款总额</v>
          </cell>
          <cell r="I1" t="str">
            <v>资源型应收账款总额</v>
          </cell>
          <cell r="J1" t="str">
            <v>组网专线 本年累计数</v>
          </cell>
          <cell r="K1" t="str">
            <v>IDC 本年累计数</v>
          </cell>
          <cell r="L1" t="str">
            <v>资源型收入</v>
          </cell>
          <cell r="M1" t="str">
            <v>产数ICT收入</v>
          </cell>
          <cell r="N1" t="str">
            <v>当月产数收入总额 </v>
          </cell>
          <cell r="O1" t="str">
            <v>202511资源型应收占收比</v>
          </cell>
          <cell r="P1" t="str">
            <v>202511产数ICT应收占收比</v>
          </cell>
        </row>
        <row r="2">
          <cell r="B2" t="str">
            <v>省公司本部</v>
          </cell>
          <cell r="C2">
            <v>33098.371368</v>
          </cell>
          <cell r="D2">
            <v>2677.68243</v>
          </cell>
          <cell r="E2">
            <v>3493.712989</v>
          </cell>
          <cell r="F2">
            <v>185.045</v>
          </cell>
          <cell r="G2">
            <v>0</v>
          </cell>
          <cell r="H2">
            <v>2862.72743</v>
          </cell>
          <cell r="I2">
            <v>36592.084357</v>
          </cell>
          <cell r="J2">
            <v>-1097.454318</v>
          </cell>
          <cell r="K2">
            <v>11422.768136</v>
          </cell>
          <cell r="L2">
            <v>-988.758750999981</v>
          </cell>
          <cell r="M2">
            <v>353.08806</v>
          </cell>
          <cell r="N2">
            <v>10678.401878</v>
          </cell>
          <cell r="O2">
            <v>-33.9240931723671</v>
          </cell>
          <cell r="P2">
            <v>7.43204630265134</v>
          </cell>
        </row>
        <row r="3">
          <cell r="B3" t="str">
            <v>成都</v>
          </cell>
          <cell r="C3">
            <v>-28.780379</v>
          </cell>
          <cell r="D3">
            <v>43322.21398</v>
          </cell>
          <cell r="E3">
            <v>8283.5509</v>
          </cell>
          <cell r="F3">
            <v>8500.325198</v>
          </cell>
          <cell r="G3">
            <v>8210.354902</v>
          </cell>
          <cell r="H3">
            <v>60032.89408</v>
          </cell>
          <cell r="I3">
            <v>8254.770521</v>
          </cell>
          <cell r="J3">
            <v>54396.464216</v>
          </cell>
          <cell r="K3">
            <v>75446.903153</v>
          </cell>
          <cell r="L3">
            <v>68355.35162</v>
          </cell>
          <cell r="M3">
            <v>107234.609116</v>
          </cell>
          <cell r="N3">
            <v>237077.976485</v>
          </cell>
          <cell r="O3">
            <v>0.110699057180614</v>
          </cell>
          <cell r="P3">
            <v>0.51317530189473</v>
          </cell>
        </row>
        <row r="4">
          <cell r="B4" t="str">
            <v>自贡</v>
          </cell>
          <cell r="C4">
            <v>4.765176</v>
          </cell>
          <cell r="D4">
            <v>4658.500189</v>
          </cell>
          <cell r="E4">
            <v>681.303859</v>
          </cell>
          <cell r="F4">
            <v>200.670535</v>
          </cell>
          <cell r="G4">
            <v>1973.548941</v>
          </cell>
          <cell r="H4">
            <v>6832.719665</v>
          </cell>
          <cell r="I4">
            <v>686.069035</v>
          </cell>
          <cell r="J4">
            <v>4043.505633</v>
          </cell>
          <cell r="K4">
            <v>460.337149</v>
          </cell>
          <cell r="L4">
            <v>4055.276697</v>
          </cell>
          <cell r="M4">
            <v>8593.334145</v>
          </cell>
          <cell r="N4">
            <v>13097.176927</v>
          </cell>
          <cell r="O4">
            <v>0.155081061640482</v>
          </cell>
          <cell r="P4">
            <v>0.728858700697404</v>
          </cell>
        </row>
        <row r="5">
          <cell r="B5" t="str">
            <v>攀枝花</v>
          </cell>
          <cell r="C5">
            <v>17.401826</v>
          </cell>
          <cell r="D5">
            <v>1198.764435</v>
          </cell>
          <cell r="E5">
            <v>712.774959</v>
          </cell>
          <cell r="F5">
            <v>131.178861</v>
          </cell>
          <cell r="G5">
            <v>622.896318</v>
          </cell>
          <cell r="H5">
            <v>1952.839614</v>
          </cell>
          <cell r="I5">
            <v>730.176785</v>
          </cell>
          <cell r="J5">
            <v>1852.667997</v>
          </cell>
          <cell r="K5">
            <v>303.831753</v>
          </cell>
          <cell r="L5">
            <v>1936.283653</v>
          </cell>
          <cell r="M5">
            <v>3160.695106</v>
          </cell>
          <cell r="N5">
            <v>5317.194856</v>
          </cell>
          <cell r="O5">
            <v>0.345676997554724</v>
          </cell>
          <cell r="P5">
            <v>0.5663637014851</v>
          </cell>
        </row>
        <row r="6">
          <cell r="B6" t="str">
            <v>泸州</v>
          </cell>
          <cell r="C6">
            <v>355.599879</v>
          </cell>
          <cell r="D6">
            <v>4936.33334</v>
          </cell>
          <cell r="E6">
            <v>1576.14406</v>
          </cell>
          <cell r="F6">
            <v>913.194282</v>
          </cell>
          <cell r="G6">
            <v>1799.66525</v>
          </cell>
          <cell r="H6">
            <v>7649.192872</v>
          </cell>
          <cell r="I6">
            <v>1931.743939</v>
          </cell>
          <cell r="J6">
            <v>4383.081982</v>
          </cell>
          <cell r="K6">
            <v>1048.018242</v>
          </cell>
          <cell r="L6">
            <v>4667.584299</v>
          </cell>
          <cell r="M6">
            <v>9556.183181</v>
          </cell>
          <cell r="N6">
            <v>14987.283405</v>
          </cell>
          <cell r="O6">
            <v>0.37937510369037</v>
          </cell>
          <cell r="P6">
            <v>0.733740657735375</v>
          </cell>
        </row>
        <row r="7">
          <cell r="B7" t="str">
            <v>德阳</v>
          </cell>
          <cell r="C7">
            <v>1014.241689</v>
          </cell>
          <cell r="D7">
            <v>7410.079483</v>
          </cell>
          <cell r="E7">
            <v>1659.751116</v>
          </cell>
          <cell r="F7">
            <v>462.213668</v>
          </cell>
          <cell r="G7">
            <v>519</v>
          </cell>
          <cell r="H7">
            <v>8391.293151</v>
          </cell>
          <cell r="I7">
            <v>2673.992805</v>
          </cell>
          <cell r="J7">
            <v>4631.749159</v>
          </cell>
          <cell r="K7">
            <v>4295.311293</v>
          </cell>
          <cell r="L7">
            <v>6173.375624</v>
          </cell>
          <cell r="M7">
            <v>8441.601857</v>
          </cell>
          <cell r="N7">
            <v>17368.662309</v>
          </cell>
          <cell r="O7">
            <v>0.397053447018632</v>
          </cell>
          <cell r="P7">
            <v>0.911203685278236</v>
          </cell>
        </row>
        <row r="8">
          <cell r="B8" t="str">
            <v>绵阳</v>
          </cell>
          <cell r="C8">
            <v>244.371805</v>
          </cell>
          <cell r="D8">
            <v>5300.723217</v>
          </cell>
          <cell r="E8">
            <v>1287.912314</v>
          </cell>
          <cell r="F8">
            <v>787.802216</v>
          </cell>
          <cell r="G8">
            <v>482</v>
          </cell>
          <cell r="H8">
            <v>6570.525433</v>
          </cell>
          <cell r="I8">
            <v>1532.284119</v>
          </cell>
          <cell r="J8">
            <v>6452.125496</v>
          </cell>
          <cell r="K8">
            <v>2409.00732</v>
          </cell>
          <cell r="L8">
            <v>7341.013965</v>
          </cell>
          <cell r="M8">
            <v>10540.179972</v>
          </cell>
          <cell r="N8">
            <v>19401.312788</v>
          </cell>
          <cell r="O8">
            <v>0.191335118342879</v>
          </cell>
          <cell r="P8">
            <v>0.571430626698664</v>
          </cell>
        </row>
        <row r="9">
          <cell r="B9" t="str">
            <v>广元</v>
          </cell>
          <cell r="C9">
            <v>79.447963</v>
          </cell>
          <cell r="D9">
            <v>3866.658412</v>
          </cell>
          <cell r="E9">
            <v>851.744984</v>
          </cell>
          <cell r="F9">
            <v>118.247935</v>
          </cell>
          <cell r="G9">
            <v>342.1</v>
          </cell>
          <cell r="H9">
            <v>4327.006347</v>
          </cell>
          <cell r="I9">
            <v>931.192947</v>
          </cell>
          <cell r="J9">
            <v>3564.787422</v>
          </cell>
          <cell r="K9">
            <v>622.342381</v>
          </cell>
          <cell r="L9">
            <v>3845.599936</v>
          </cell>
          <cell r="M9">
            <v>6225.605798</v>
          </cell>
          <cell r="N9">
            <v>10412.735601</v>
          </cell>
          <cell r="O9">
            <v>0.221966285873685</v>
          </cell>
          <cell r="P9">
            <v>0.637114300751941</v>
          </cell>
        </row>
        <row r="10">
          <cell r="B10" t="str">
            <v>遂宁</v>
          </cell>
          <cell r="C10">
            <v>199.573952</v>
          </cell>
          <cell r="D10">
            <v>3684.916839</v>
          </cell>
          <cell r="E10">
            <v>714.351744</v>
          </cell>
          <cell r="F10">
            <v>161.26601</v>
          </cell>
          <cell r="G10">
            <v>12</v>
          </cell>
          <cell r="H10">
            <v>3858.182849</v>
          </cell>
          <cell r="I10">
            <v>913.925696</v>
          </cell>
          <cell r="J10">
            <v>2966.422619</v>
          </cell>
          <cell r="K10">
            <v>764.974801</v>
          </cell>
          <cell r="L10">
            <v>3272.831255</v>
          </cell>
          <cell r="M10">
            <v>4321.330204</v>
          </cell>
          <cell r="N10">
            <v>8052.727624</v>
          </cell>
          <cell r="O10">
            <v>0.25597568467774</v>
          </cell>
          <cell r="P10">
            <v>0.818421051996825</v>
          </cell>
        </row>
        <row r="11">
          <cell r="B11" t="str">
            <v>内江</v>
          </cell>
          <cell r="C11">
            <v>6.805582</v>
          </cell>
          <cell r="D11">
            <v>2364.61524</v>
          </cell>
          <cell r="E11">
            <v>753.053781</v>
          </cell>
          <cell r="F11">
            <v>128.147768</v>
          </cell>
          <cell r="G11">
            <v>1634.6326</v>
          </cell>
          <cell r="H11">
            <v>4127.395608</v>
          </cell>
          <cell r="I11">
            <v>759.859363</v>
          </cell>
          <cell r="J11">
            <v>2913.813328</v>
          </cell>
          <cell r="K11">
            <v>519.677955</v>
          </cell>
          <cell r="L11">
            <v>2930.543429</v>
          </cell>
          <cell r="M11">
            <v>5194.150831</v>
          </cell>
          <cell r="N11">
            <v>8627.642114</v>
          </cell>
          <cell r="O11">
            <v>0.237682111284851</v>
          </cell>
          <cell r="P11">
            <v>0.728405103567544</v>
          </cell>
        </row>
        <row r="12">
          <cell r="B12" t="str">
            <v>乐山</v>
          </cell>
          <cell r="C12">
            <v>148.406278</v>
          </cell>
          <cell r="D12">
            <v>8691.866568</v>
          </cell>
          <cell r="E12">
            <v>814.246685</v>
          </cell>
          <cell r="F12">
            <v>592.965905</v>
          </cell>
          <cell r="G12">
            <v>1071.391182</v>
          </cell>
          <cell r="H12">
            <v>10356.223655</v>
          </cell>
          <cell r="I12">
            <v>962.652963</v>
          </cell>
          <cell r="J12">
            <v>4874.786153</v>
          </cell>
          <cell r="K12">
            <v>933.648307</v>
          </cell>
          <cell r="L12">
            <v>5076.341213</v>
          </cell>
          <cell r="M12">
            <v>9917.685995</v>
          </cell>
          <cell r="N12">
            <v>15726.120455</v>
          </cell>
          <cell r="O12">
            <v>0.173832263380992</v>
          </cell>
          <cell r="P12">
            <v>0.957199594932661</v>
          </cell>
        </row>
        <row r="13">
          <cell r="B13" t="str">
            <v>南充</v>
          </cell>
          <cell r="C13">
            <v>44.846675</v>
          </cell>
          <cell r="D13">
            <v>8216.642456</v>
          </cell>
          <cell r="E13">
            <v>900.838688</v>
          </cell>
          <cell r="F13">
            <v>302.993776</v>
          </cell>
          <cell r="G13">
            <v>300.162835</v>
          </cell>
          <cell r="H13">
            <v>8819.799067</v>
          </cell>
          <cell r="I13">
            <v>945.685363</v>
          </cell>
          <cell r="J13">
            <v>4588.8994</v>
          </cell>
          <cell r="K13">
            <v>1118.834859</v>
          </cell>
          <cell r="L13">
            <v>4709.5539</v>
          </cell>
          <cell r="M13">
            <v>9514.67531</v>
          </cell>
          <cell r="N13">
            <v>15222.409569</v>
          </cell>
          <cell r="O13">
            <v>0.184068017443577</v>
          </cell>
          <cell r="P13">
            <v>0.849720620830798</v>
          </cell>
        </row>
        <row r="14">
          <cell r="B14" t="str">
            <v>眉山</v>
          </cell>
          <cell r="C14">
            <v>58.177877</v>
          </cell>
          <cell r="D14">
            <v>3577.335295</v>
          </cell>
          <cell r="E14">
            <v>937.008362</v>
          </cell>
          <cell r="F14">
            <v>443.883734</v>
          </cell>
          <cell r="G14">
            <v>985.897191</v>
          </cell>
          <cell r="H14">
            <v>5007.11622</v>
          </cell>
          <cell r="I14">
            <v>995.186239</v>
          </cell>
          <cell r="J14">
            <v>4220.528688</v>
          </cell>
          <cell r="K14">
            <v>424.105135</v>
          </cell>
          <cell r="L14">
            <v>4509.306308</v>
          </cell>
          <cell r="M14">
            <v>11160.163434</v>
          </cell>
          <cell r="N14">
            <v>15804.797257</v>
          </cell>
          <cell r="O14">
            <v>0.20230474270471</v>
          </cell>
          <cell r="P14">
            <v>0.411271444378383</v>
          </cell>
        </row>
        <row r="15">
          <cell r="B15" t="str">
            <v>宜宾</v>
          </cell>
          <cell r="C15">
            <v>82.297225</v>
          </cell>
          <cell r="D15">
            <v>7036.166364</v>
          </cell>
          <cell r="E15">
            <v>1745.309432</v>
          </cell>
          <cell r="F15">
            <v>428.192885</v>
          </cell>
          <cell r="G15">
            <v>422.226831</v>
          </cell>
          <cell r="H15">
            <v>7886.58608</v>
          </cell>
          <cell r="I15">
            <v>1827.606657</v>
          </cell>
          <cell r="J15">
            <v>4695.62905</v>
          </cell>
          <cell r="K15">
            <v>10865.430399</v>
          </cell>
          <cell r="L15">
            <v>14290.47638</v>
          </cell>
          <cell r="M15">
            <v>10162.644729</v>
          </cell>
          <cell r="N15">
            <v>25723.704178</v>
          </cell>
          <cell r="O15">
            <v>0.117232348152833</v>
          </cell>
          <cell r="P15">
            <v>0.71136704727104</v>
          </cell>
        </row>
        <row r="16">
          <cell r="B16" t="str">
            <v>广安</v>
          </cell>
          <cell r="C16">
            <v>15.444269</v>
          </cell>
          <cell r="D16">
            <v>4463.713627</v>
          </cell>
          <cell r="E16">
            <v>1515.034385</v>
          </cell>
          <cell r="F16">
            <v>406.053886</v>
          </cell>
          <cell r="G16">
            <v>49.967942</v>
          </cell>
          <cell r="H16">
            <v>4919.735455</v>
          </cell>
          <cell r="I16">
            <v>1530.478654</v>
          </cell>
          <cell r="J16">
            <v>3604.191864</v>
          </cell>
          <cell r="K16">
            <v>583.123724</v>
          </cell>
          <cell r="L16">
            <v>3714.049762</v>
          </cell>
          <cell r="M16">
            <v>7157.830452</v>
          </cell>
          <cell r="N16">
            <v>11345.14604</v>
          </cell>
          <cell r="O16">
            <v>0.377738279255362</v>
          </cell>
          <cell r="P16">
            <v>0.630045309211896</v>
          </cell>
        </row>
        <row r="17">
          <cell r="B17" t="str">
            <v>达州</v>
          </cell>
          <cell r="C17">
            <v>85.511954</v>
          </cell>
          <cell r="D17">
            <v>2222.214335</v>
          </cell>
          <cell r="E17">
            <v>1371.609129</v>
          </cell>
          <cell r="F17">
            <v>505.631631</v>
          </cell>
          <cell r="G17">
            <v>2246.7506</v>
          </cell>
          <cell r="H17">
            <v>4974.596566</v>
          </cell>
          <cell r="I17">
            <v>1457.121083</v>
          </cell>
          <cell r="J17">
            <v>5231.873556</v>
          </cell>
          <cell r="K17">
            <v>644.668686</v>
          </cell>
          <cell r="L17">
            <v>5255.201062</v>
          </cell>
          <cell r="M17">
            <v>6252.907641</v>
          </cell>
          <cell r="N17">
            <v>12129.449883</v>
          </cell>
          <cell r="O17">
            <v>0.254166169919101</v>
          </cell>
          <cell r="P17">
            <v>0.729268224316424</v>
          </cell>
        </row>
        <row r="18">
          <cell r="B18" t="str">
            <v>雅安</v>
          </cell>
          <cell r="C18">
            <v>657.264983</v>
          </cell>
          <cell r="D18">
            <v>1004.212346</v>
          </cell>
          <cell r="E18">
            <v>586.356349</v>
          </cell>
          <cell r="F18">
            <v>122.645705</v>
          </cell>
          <cell r="G18">
            <v>311.245369</v>
          </cell>
          <cell r="H18">
            <v>1438.10342</v>
          </cell>
          <cell r="I18">
            <v>1243.621332</v>
          </cell>
          <cell r="J18">
            <v>3095.411155</v>
          </cell>
          <cell r="K18">
            <v>7479.61863</v>
          </cell>
          <cell r="L18">
            <v>7065.961656</v>
          </cell>
          <cell r="M18">
            <v>6035.403786</v>
          </cell>
          <cell r="N18">
            <v>16610.433571</v>
          </cell>
          <cell r="O18">
            <v>0.161334900541385</v>
          </cell>
          <cell r="P18">
            <v>0.218421420517254</v>
          </cell>
        </row>
        <row r="19">
          <cell r="B19" t="str">
            <v>巴中</v>
          </cell>
          <cell r="C19">
            <v>79.580092</v>
          </cell>
          <cell r="D19">
            <v>6436.052887</v>
          </cell>
          <cell r="E19">
            <v>1169.039857</v>
          </cell>
          <cell r="F19">
            <v>1009.920635</v>
          </cell>
          <cell r="G19">
            <v>1925.100527</v>
          </cell>
          <cell r="H19">
            <v>9371.074049</v>
          </cell>
          <cell r="I19">
            <v>1248.619949</v>
          </cell>
          <cell r="J19">
            <v>2193.939088</v>
          </cell>
          <cell r="K19">
            <v>359.814769</v>
          </cell>
          <cell r="L19">
            <v>2237.238805</v>
          </cell>
          <cell r="M19">
            <v>6966.172164</v>
          </cell>
          <cell r="N19">
            <v>9519.926021</v>
          </cell>
          <cell r="O19">
            <v>0.511598620596666</v>
          </cell>
          <cell r="P19">
            <v>1.23312358772523</v>
          </cell>
        </row>
        <row r="20">
          <cell r="B20" t="str">
            <v>资阳</v>
          </cell>
          <cell r="C20">
            <v>2.243247</v>
          </cell>
          <cell r="D20">
            <v>3265.850031</v>
          </cell>
          <cell r="E20">
            <v>420.302722</v>
          </cell>
          <cell r="F20">
            <v>231.24696</v>
          </cell>
          <cell r="G20">
            <v>0</v>
          </cell>
          <cell r="H20">
            <v>3497.096991</v>
          </cell>
          <cell r="I20">
            <v>422.545969</v>
          </cell>
          <cell r="J20">
            <v>1804.450059</v>
          </cell>
          <cell r="K20">
            <v>-2.169177</v>
          </cell>
          <cell r="L20">
            <v>1777.031888</v>
          </cell>
          <cell r="M20">
            <v>3758.430747</v>
          </cell>
          <cell r="N20">
            <v>5560.711629</v>
          </cell>
          <cell r="O20">
            <v>0.217966716034905</v>
          </cell>
          <cell r="P20">
            <v>0.852928378235726</v>
          </cell>
        </row>
        <row r="21">
          <cell r="B21" t="str">
            <v>阿坝</v>
          </cell>
          <cell r="C21">
            <v>13.97289</v>
          </cell>
          <cell r="D21">
            <v>1583.649244</v>
          </cell>
          <cell r="E21">
            <v>1609.396836</v>
          </cell>
          <cell r="F21">
            <v>121.237722</v>
          </cell>
          <cell r="G21">
            <v>382.92</v>
          </cell>
          <cell r="H21">
            <v>2087.806966</v>
          </cell>
          <cell r="I21">
            <v>1623.369726</v>
          </cell>
          <cell r="J21">
            <v>4735.437647</v>
          </cell>
          <cell r="K21">
            <v>221.641344</v>
          </cell>
          <cell r="L21">
            <v>4799.487616</v>
          </cell>
          <cell r="M21">
            <v>3645.945901</v>
          </cell>
          <cell r="N21">
            <v>8603.024892</v>
          </cell>
          <cell r="O21">
            <v>0.310051621039541</v>
          </cell>
          <cell r="P21">
            <v>0.524918115664237</v>
          </cell>
        </row>
        <row r="22">
          <cell r="B22" t="str">
            <v>甘孜</v>
          </cell>
          <cell r="C22">
            <v>4.04235</v>
          </cell>
          <cell r="D22">
            <v>1322.36416</v>
          </cell>
          <cell r="E22">
            <v>4116.274823</v>
          </cell>
          <cell r="F22">
            <v>134.44549</v>
          </cell>
          <cell r="G22">
            <v>1048.769125</v>
          </cell>
          <cell r="H22">
            <v>2505.578775</v>
          </cell>
          <cell r="I22">
            <v>4120.317173</v>
          </cell>
          <cell r="J22">
            <v>7065.137181</v>
          </cell>
          <cell r="K22">
            <v>454.325058</v>
          </cell>
          <cell r="L22">
            <v>7148.104486</v>
          </cell>
          <cell r="M22">
            <v>6615.086508</v>
          </cell>
          <cell r="N22">
            <v>14134.548747</v>
          </cell>
          <cell r="O22">
            <v>0.528385870125533</v>
          </cell>
          <cell r="P22">
            <v>0.347203402551482</v>
          </cell>
        </row>
        <row r="23">
          <cell r="B23" t="str">
            <v>凉山</v>
          </cell>
          <cell r="C23">
            <v>11.472868</v>
          </cell>
          <cell r="D23">
            <v>7416.384038</v>
          </cell>
          <cell r="E23">
            <v>2702.085584</v>
          </cell>
          <cell r="F23">
            <v>313.372903</v>
          </cell>
          <cell r="G23">
            <v>342.3</v>
          </cell>
          <cell r="H23">
            <v>8072.056941</v>
          </cell>
          <cell r="I23">
            <v>2713.558452</v>
          </cell>
          <cell r="J23">
            <v>8153.524624</v>
          </cell>
          <cell r="K23">
            <v>695.734829</v>
          </cell>
          <cell r="L23">
            <v>8210.713034</v>
          </cell>
          <cell r="M23">
            <v>11679.423886</v>
          </cell>
          <cell r="N23">
            <v>20528.683339</v>
          </cell>
          <cell r="O23">
            <v>0.302949155657947</v>
          </cell>
          <cell r="P23">
            <v>0.633540284304568</v>
          </cell>
        </row>
      </sheetData>
      <sheetData sheetId="6"/>
      <sheetData sheetId="7"/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Sheet1"/>
      <sheetName val="计算结果表"/>
    </sheetNames>
    <sheetDataSet>
      <sheetData sheetId="0"/>
      <sheetData sheetId="1">
        <row r="1">
          <cell r="C1" t="str">
            <v>应收账款</v>
          </cell>
          <cell r="D1" t="str">
            <v>应收票据</v>
          </cell>
          <cell r="E1" t="str">
            <v>合同资产</v>
          </cell>
          <cell r="F1" t="str">
            <v>合同资产.产业数字化业务</v>
          </cell>
        </row>
        <row r="1">
          <cell r="H1" t="str">
            <v>营业款结算</v>
          </cell>
          <cell r="I1" t="str">
            <v>坏账</v>
          </cell>
          <cell r="J1" t="str">
            <v>信用减值损失</v>
          </cell>
          <cell r="K1" t="str">
            <v>产数应收</v>
          </cell>
          <cell r="L1" t="str">
            <v>预收账款(取负号）</v>
          </cell>
          <cell r="M1" t="str">
            <v>合同负债（取负号）</v>
          </cell>
          <cell r="N1" t="str">
            <v>应收账款总额</v>
          </cell>
          <cell r="O1" t="str">
            <v>应收账款净额</v>
          </cell>
          <cell r="P1" t="str">
            <v>产数应收总额</v>
          </cell>
          <cell r="Q1" t="str">
            <v>基础应收</v>
          </cell>
          <cell r="R1" t="str">
            <v>预收账款</v>
          </cell>
          <cell r="S1" t="str">
            <v>资源型应收账款总额</v>
          </cell>
          <cell r="T1" t="str">
            <v>产数ICT应收账款总额</v>
          </cell>
          <cell r="U1" t="str">
            <v>校验项1</v>
          </cell>
          <cell r="V1" t="str">
            <v>校验项2</v>
          </cell>
        </row>
        <row r="1">
          <cell r="X1" t="str">
            <v>IDC业务款</v>
          </cell>
          <cell r="Y1" t="str">
            <v>数字平台及集成业务款</v>
          </cell>
          <cell r="Z1" t="str">
            <v>组网专线业务款</v>
          </cell>
          <cell r="AA1" t="str">
            <v>其他</v>
          </cell>
        </row>
        <row r="2">
          <cell r="C2" t="str">
            <v>1122*</v>
          </cell>
          <cell r="D2" t="str">
            <v>1121*</v>
          </cell>
          <cell r="E2" t="str">
            <v>1126*</v>
          </cell>
          <cell r="F2">
            <v>1126010000</v>
          </cell>
          <cell r="G2">
            <v>1126020000</v>
          </cell>
          <cell r="H2" t="str">
            <v>1124*</v>
          </cell>
          <cell r="I2" t="str">
            <v>1231*</v>
          </cell>
          <cell r="J2" t="str">
            <v>6702*</v>
          </cell>
          <cell r="K2" t="str">
            <v>112203*</v>
          </cell>
          <cell r="L2" t="str">
            <v>2203*</v>
          </cell>
          <cell r="M2" t="str">
            <v>2204*</v>
          </cell>
        </row>
        <row r="2">
          <cell r="S2" t="str">
            <v>资源型应收=组网专线+IDC</v>
          </cell>
          <cell r="T2" t="str">
            <v>ICT应收=产数应收+合同资产-资源应收</v>
          </cell>
        </row>
        <row r="2">
          <cell r="X2" t="str">
            <v>1122030100</v>
          </cell>
          <cell r="Y2" t="str">
            <v>1122030200</v>
          </cell>
          <cell r="Z2" t="str">
            <v>1122030300</v>
          </cell>
          <cell r="AA2" t="str">
            <v>1122039900</v>
          </cell>
        </row>
        <row r="3">
          <cell r="B3" t="str">
            <v>省公司本部</v>
          </cell>
          <cell r="C3">
            <v>40837.77349</v>
          </cell>
          <cell r="D3">
            <v>0</v>
          </cell>
          <cell r="E3">
            <v>0</v>
          </cell>
          <cell r="F3">
            <v>0</v>
          </cell>
          <cell r="G3">
            <v>0</v>
          </cell>
          <cell r="H3">
            <v>4499.787847</v>
          </cell>
          <cell r="I3">
            <v>-4684.348421</v>
          </cell>
          <cell r="J3">
            <v>169.822748</v>
          </cell>
          <cell r="K3">
            <v>26444.974073</v>
          </cell>
          <cell r="L3">
            <v>24535.133519</v>
          </cell>
          <cell r="M3">
            <v>979.419549</v>
          </cell>
          <cell r="N3">
            <v>45337.561337</v>
          </cell>
          <cell r="O3">
            <v>36153.425069</v>
          </cell>
          <cell r="P3">
            <v>26444.974073</v>
          </cell>
          <cell r="Q3">
            <v>18892.587264</v>
          </cell>
          <cell r="R3">
            <v>25514.553068</v>
          </cell>
          <cell r="S3">
            <v>33040.12191</v>
          </cell>
          <cell r="T3">
            <v>-6595.147837</v>
          </cell>
          <cell r="U3">
            <v>0</v>
          </cell>
          <cell r="V3">
            <v>0</v>
          </cell>
          <cell r="W3" t="str">
            <v>省公司本部</v>
          </cell>
          <cell r="X3">
            <v>30776.100025</v>
          </cell>
          <cell r="Y3">
            <v>-7328.089103</v>
          </cell>
          <cell r="Z3">
            <v>2264.021885</v>
          </cell>
          <cell r="AA3">
            <v>732.941266</v>
          </cell>
        </row>
        <row r="4">
          <cell r="B4" t="str">
            <v>成都</v>
          </cell>
          <cell r="C4">
            <v>60381.521282</v>
          </cell>
          <cell r="D4">
            <v>168.309806</v>
          </cell>
          <cell r="E4">
            <v>12966.868128</v>
          </cell>
          <cell r="F4">
            <v>12966.868128</v>
          </cell>
          <cell r="G4">
            <v>0</v>
          </cell>
          <cell r="H4">
            <v>0</v>
          </cell>
          <cell r="I4">
            <v>-20947.641563</v>
          </cell>
          <cell r="J4">
            <v>531.036981</v>
          </cell>
          <cell r="K4">
            <v>33002.940737</v>
          </cell>
          <cell r="L4">
            <v>95429.064668</v>
          </cell>
          <cell r="M4">
            <v>2006.894383</v>
          </cell>
          <cell r="N4">
            <v>73348.38941</v>
          </cell>
          <cell r="O4">
            <v>39433.879719</v>
          </cell>
          <cell r="P4">
            <v>45969.808865</v>
          </cell>
          <cell r="Q4">
            <v>27378.580545</v>
          </cell>
          <cell r="R4">
            <v>97435.959051</v>
          </cell>
          <cell r="S4">
            <v>6653.652715</v>
          </cell>
          <cell r="T4">
            <v>39316.15615</v>
          </cell>
          <cell r="U4">
            <v>0</v>
          </cell>
          <cell r="V4">
            <v>0</v>
          </cell>
          <cell r="W4" t="str">
            <v>成都</v>
          </cell>
          <cell r="X4">
            <v>76.002629</v>
          </cell>
          <cell r="Y4">
            <v>21293.730155</v>
          </cell>
          <cell r="Z4">
            <v>6577.650086</v>
          </cell>
          <cell r="AA4">
            <v>5055.557867</v>
          </cell>
        </row>
        <row r="5">
          <cell r="B5" t="str">
            <v>天府新区分公司</v>
          </cell>
          <cell r="C5">
            <v>0</v>
          </cell>
          <cell r="D5">
            <v>0</v>
          </cell>
          <cell r="E5">
            <v>0</v>
          </cell>
          <cell r="F5">
            <v>0</v>
          </cell>
          <cell r="G5">
            <v>0</v>
          </cell>
          <cell r="H5">
            <v>0</v>
          </cell>
          <cell r="I5">
            <v>0</v>
          </cell>
          <cell r="J5">
            <v>0</v>
          </cell>
          <cell r="K5">
            <v>0</v>
          </cell>
          <cell r="L5">
            <v>0</v>
          </cell>
          <cell r="M5">
            <v>0</v>
          </cell>
          <cell r="N5">
            <v>0</v>
          </cell>
          <cell r="O5">
            <v>0</v>
          </cell>
          <cell r="P5">
            <v>0</v>
          </cell>
          <cell r="Q5">
            <v>0</v>
          </cell>
          <cell r="R5">
            <v>0</v>
          </cell>
          <cell r="S5">
            <v>0</v>
          </cell>
          <cell r="T5">
            <v>0</v>
          </cell>
          <cell r="U5">
            <v>0</v>
          </cell>
          <cell r="V5">
            <v>0</v>
          </cell>
          <cell r="W5" t="str">
            <v>天府新区分公司</v>
          </cell>
          <cell r="X5">
            <v>0</v>
          </cell>
          <cell r="Y5">
            <v>0</v>
          </cell>
          <cell r="Z5">
            <v>0</v>
          </cell>
          <cell r="AA5">
            <v>0</v>
          </cell>
        </row>
        <row r="6">
          <cell r="B6" t="str">
            <v>自贡</v>
          </cell>
          <cell r="C6">
            <v>5138.193317</v>
          </cell>
          <cell r="D6">
            <v>0</v>
          </cell>
          <cell r="E6">
            <v>1973.548941</v>
          </cell>
          <cell r="F6">
            <v>1973.548941</v>
          </cell>
          <cell r="G6">
            <v>0</v>
          </cell>
          <cell r="H6">
            <v>0</v>
          </cell>
          <cell r="I6">
            <v>-3175.881067</v>
          </cell>
          <cell r="J6">
            <v>266.26498</v>
          </cell>
          <cell r="K6">
            <v>2997.89395</v>
          </cell>
          <cell r="L6">
            <v>6416.488141</v>
          </cell>
          <cell r="M6">
            <v>406.222945</v>
          </cell>
          <cell r="N6">
            <v>7111.742258</v>
          </cell>
          <cell r="O6">
            <v>1962.31225</v>
          </cell>
          <cell r="P6">
            <v>4971.442891</v>
          </cell>
          <cell r="Q6">
            <v>2140.299367</v>
          </cell>
          <cell r="R6">
            <v>6822.711086</v>
          </cell>
          <cell r="S6">
            <v>1529.818453</v>
          </cell>
          <cell r="T6">
            <v>3441.624438</v>
          </cell>
          <cell r="U6">
            <v>0</v>
          </cell>
          <cell r="V6">
            <v>0</v>
          </cell>
          <cell r="W6" t="str">
            <v>自贡</v>
          </cell>
          <cell r="X6">
            <v>13.455478</v>
          </cell>
          <cell r="Y6">
            <v>1304.82868</v>
          </cell>
          <cell r="Z6">
            <v>1516.362975</v>
          </cell>
          <cell r="AA6">
            <v>163.246817</v>
          </cell>
        </row>
        <row r="7">
          <cell r="B7" t="str">
            <v>攀枝花</v>
          </cell>
          <cell r="C7">
            <v>4830.398482</v>
          </cell>
          <cell r="D7">
            <v>0</v>
          </cell>
          <cell r="E7">
            <v>622.896318</v>
          </cell>
          <cell r="F7">
            <v>622.896318</v>
          </cell>
          <cell r="G7">
            <v>0</v>
          </cell>
          <cell r="H7">
            <v>59.981561</v>
          </cell>
          <cell r="I7">
            <v>-2435.713551</v>
          </cell>
          <cell r="J7">
            <v>-13.527662</v>
          </cell>
          <cell r="K7">
            <v>2489.139107</v>
          </cell>
          <cell r="L7">
            <v>4537.800915</v>
          </cell>
          <cell r="M7">
            <v>31.265895</v>
          </cell>
          <cell r="N7">
            <v>5513.276361</v>
          </cell>
          <cell r="O7">
            <v>2394.684931</v>
          </cell>
          <cell r="P7">
            <v>3112.035425</v>
          </cell>
          <cell r="Q7">
            <v>2401.240936</v>
          </cell>
          <cell r="R7">
            <v>4569.06681</v>
          </cell>
          <cell r="S7">
            <v>605.068678</v>
          </cell>
          <cell r="T7">
            <v>2506.966747</v>
          </cell>
          <cell r="U7">
            <v>0</v>
          </cell>
          <cell r="V7">
            <v>0</v>
          </cell>
          <cell r="W7" t="str">
            <v>攀枝花</v>
          </cell>
          <cell r="X7">
            <v>28.84961</v>
          </cell>
          <cell r="Y7">
            <v>1743.783962</v>
          </cell>
          <cell r="Z7">
            <v>576.219068</v>
          </cell>
          <cell r="AA7">
            <v>140.286467</v>
          </cell>
        </row>
        <row r="8">
          <cell r="B8" t="str">
            <v>泸州</v>
          </cell>
          <cell r="C8">
            <v>10396.355303</v>
          </cell>
          <cell r="D8">
            <v>0</v>
          </cell>
          <cell r="E8">
            <v>1479.272772</v>
          </cell>
          <cell r="F8">
            <v>1479.272772</v>
          </cell>
          <cell r="G8">
            <v>0</v>
          </cell>
          <cell r="H8">
            <v>0</v>
          </cell>
          <cell r="I8">
            <v>-2530.883538</v>
          </cell>
          <cell r="J8">
            <v>429.98962</v>
          </cell>
          <cell r="K8">
            <v>5766.852222</v>
          </cell>
          <cell r="L8">
            <v>8612.641976</v>
          </cell>
          <cell r="M8">
            <v>349.912085</v>
          </cell>
          <cell r="N8">
            <v>11875.628075</v>
          </cell>
          <cell r="O8">
            <v>7865.471765</v>
          </cell>
          <cell r="P8">
            <v>7246.124994</v>
          </cell>
          <cell r="Q8">
            <v>4629.503081</v>
          </cell>
          <cell r="R8">
            <v>8962.554061</v>
          </cell>
          <cell r="S8">
            <v>825.438341</v>
          </cell>
          <cell r="T8">
            <v>6420.686653</v>
          </cell>
          <cell r="U8">
            <v>0</v>
          </cell>
          <cell r="V8">
            <v>0</v>
          </cell>
          <cell r="W8" t="str">
            <v>泸州</v>
          </cell>
          <cell r="X8">
            <v>109.078446</v>
          </cell>
          <cell r="Y8">
            <v>4052.031764</v>
          </cell>
          <cell r="Z8">
            <v>716.359895</v>
          </cell>
          <cell r="AA8">
            <v>889.382117</v>
          </cell>
        </row>
        <row r="9">
          <cell r="B9" t="str">
            <v>德阳</v>
          </cell>
          <cell r="C9">
            <v>8769.975352</v>
          </cell>
          <cell r="D9">
            <v>167.4</v>
          </cell>
          <cell r="E9">
            <v>519.166676</v>
          </cell>
          <cell r="F9">
            <v>519.166676</v>
          </cell>
          <cell r="G9">
            <v>0</v>
          </cell>
          <cell r="H9">
            <v>0</v>
          </cell>
          <cell r="I9">
            <v>-2329.252516</v>
          </cell>
          <cell r="J9">
            <v>-16.880975</v>
          </cell>
          <cell r="K9">
            <v>5812.567902</v>
          </cell>
          <cell r="L9">
            <v>9032.548841</v>
          </cell>
          <cell r="M9">
            <v>92.09794</v>
          </cell>
          <cell r="N9">
            <v>9289.142028</v>
          </cell>
          <cell r="O9">
            <v>6440.722836</v>
          </cell>
          <cell r="P9">
            <v>6331.734578</v>
          </cell>
          <cell r="Q9">
            <v>2957.40745</v>
          </cell>
          <cell r="R9">
            <v>9124.646781</v>
          </cell>
          <cell r="S9">
            <v>1170.390644</v>
          </cell>
          <cell r="T9">
            <v>5161.343934</v>
          </cell>
          <cell r="U9">
            <v>0</v>
          </cell>
          <cell r="V9">
            <v>0</v>
          </cell>
          <cell r="W9" t="str">
            <v>德阳</v>
          </cell>
          <cell r="X9">
            <v>330.150768</v>
          </cell>
          <cell r="Y9">
            <v>4234.235558</v>
          </cell>
          <cell r="Z9">
            <v>840.239876</v>
          </cell>
          <cell r="AA9">
            <v>407.9417</v>
          </cell>
        </row>
        <row r="10">
          <cell r="B10" t="str">
            <v>绵阳</v>
          </cell>
          <cell r="C10">
            <v>10292.631548</v>
          </cell>
          <cell r="D10">
            <v>19.112144</v>
          </cell>
          <cell r="E10">
            <v>482</v>
          </cell>
          <cell r="F10">
            <v>482</v>
          </cell>
          <cell r="G10">
            <v>0</v>
          </cell>
          <cell r="H10">
            <v>0</v>
          </cell>
          <cell r="I10">
            <v>-1910.416126</v>
          </cell>
          <cell r="J10">
            <v>228.941885</v>
          </cell>
          <cell r="K10">
            <v>4904.087383</v>
          </cell>
          <cell r="L10">
            <v>11907.331715</v>
          </cell>
          <cell r="M10">
            <v>170.670624</v>
          </cell>
          <cell r="N10">
            <v>10774.631548</v>
          </cell>
          <cell r="O10">
            <v>8382.215422</v>
          </cell>
          <cell r="P10">
            <v>5386.087383</v>
          </cell>
          <cell r="Q10">
            <v>5388.544165</v>
          </cell>
          <cell r="R10">
            <v>12078.002339</v>
          </cell>
          <cell r="S10">
            <v>910.96034</v>
          </cell>
          <cell r="T10">
            <v>4475.127043</v>
          </cell>
          <cell r="U10">
            <v>0</v>
          </cell>
          <cell r="V10">
            <v>0</v>
          </cell>
          <cell r="W10" t="str">
            <v>绵阳</v>
          </cell>
          <cell r="X10">
            <v>78.979581</v>
          </cell>
          <cell r="Y10">
            <v>3282.184396</v>
          </cell>
          <cell r="Z10">
            <v>831.980759</v>
          </cell>
          <cell r="AA10">
            <v>710.942647</v>
          </cell>
        </row>
        <row r="11">
          <cell r="B11" t="str">
            <v>广元</v>
          </cell>
          <cell r="C11">
            <v>4996.184133</v>
          </cell>
          <cell r="D11">
            <v>0</v>
          </cell>
          <cell r="E11">
            <v>342.1</v>
          </cell>
          <cell r="F11">
            <v>342.1</v>
          </cell>
          <cell r="G11">
            <v>0</v>
          </cell>
          <cell r="H11">
            <v>0</v>
          </cell>
          <cell r="I11">
            <v>-990.779194</v>
          </cell>
          <cell r="J11">
            <v>-220.801485</v>
          </cell>
          <cell r="K11">
            <v>2724.304348</v>
          </cell>
          <cell r="L11">
            <v>4452.369043</v>
          </cell>
          <cell r="M11">
            <v>262.226707</v>
          </cell>
          <cell r="N11">
            <v>5338.284133</v>
          </cell>
          <cell r="O11">
            <v>4005.404939</v>
          </cell>
          <cell r="P11">
            <v>3066.404348</v>
          </cell>
          <cell r="Q11">
            <v>2271.879785</v>
          </cell>
          <cell r="R11">
            <v>4714.59575</v>
          </cell>
          <cell r="S11">
            <v>533.145298</v>
          </cell>
          <cell r="T11">
            <v>2533.25905</v>
          </cell>
          <cell r="U11">
            <v>0</v>
          </cell>
          <cell r="V11">
            <v>0</v>
          </cell>
          <cell r="W11" t="str">
            <v>广元</v>
          </cell>
          <cell r="X11">
            <v>42.077564</v>
          </cell>
          <cell r="Y11">
            <v>2087.665493</v>
          </cell>
          <cell r="Z11">
            <v>491.067734</v>
          </cell>
          <cell r="AA11">
            <v>103.493557</v>
          </cell>
        </row>
        <row r="12">
          <cell r="B12" t="str">
            <v>遂宁</v>
          </cell>
          <cell r="C12">
            <v>4629.964691</v>
          </cell>
          <cell r="D12">
            <v>0</v>
          </cell>
          <cell r="E12">
            <v>12</v>
          </cell>
          <cell r="F12">
            <v>12</v>
          </cell>
          <cell r="G12">
            <v>0</v>
          </cell>
          <cell r="H12">
            <v>0</v>
          </cell>
          <cell r="I12">
            <v>-822.271311</v>
          </cell>
          <cell r="J12">
            <v>-0.196450000000001</v>
          </cell>
          <cell r="K12">
            <v>2916.155975</v>
          </cell>
          <cell r="L12">
            <v>2813.524866</v>
          </cell>
          <cell r="M12">
            <v>213.482035</v>
          </cell>
          <cell r="N12">
            <v>4641.964691</v>
          </cell>
          <cell r="O12">
            <v>3807.69338</v>
          </cell>
          <cell r="P12">
            <v>2928.155975</v>
          </cell>
          <cell r="Q12">
            <v>1713.808716</v>
          </cell>
          <cell r="R12">
            <v>3027.006901</v>
          </cell>
          <cell r="S12">
            <v>511.682753</v>
          </cell>
          <cell r="T12">
            <v>2416.473222</v>
          </cell>
          <cell r="U12">
            <v>0</v>
          </cell>
          <cell r="V12">
            <v>0</v>
          </cell>
          <cell r="W12" t="str">
            <v>遂宁</v>
          </cell>
          <cell r="X12">
            <v>23.290754</v>
          </cell>
          <cell r="Y12">
            <v>2192.304341</v>
          </cell>
          <cell r="Z12">
            <v>488.391999</v>
          </cell>
          <cell r="AA12">
            <v>212.168881</v>
          </cell>
        </row>
        <row r="13">
          <cell r="B13" t="str">
            <v>内江</v>
          </cell>
          <cell r="C13">
            <v>4982.368008</v>
          </cell>
          <cell r="D13">
            <v>0</v>
          </cell>
          <cell r="E13">
            <v>1634.6326</v>
          </cell>
          <cell r="F13">
            <v>1634.6326</v>
          </cell>
          <cell r="G13">
            <v>0</v>
          </cell>
          <cell r="H13">
            <v>0</v>
          </cell>
          <cell r="I13">
            <v>-2066.168392</v>
          </cell>
          <cell r="J13">
            <v>64.14032</v>
          </cell>
          <cell r="K13">
            <v>2502.807882</v>
          </cell>
          <cell r="L13">
            <v>5563.776053</v>
          </cell>
          <cell r="M13">
            <v>-166.949569</v>
          </cell>
          <cell r="N13">
            <v>6617.000608</v>
          </cell>
          <cell r="O13">
            <v>2916.199616</v>
          </cell>
          <cell r="P13">
            <v>4137.440482</v>
          </cell>
          <cell r="Q13">
            <v>2479.560126</v>
          </cell>
          <cell r="R13">
            <v>5396.826484</v>
          </cell>
          <cell r="S13">
            <v>365.078608</v>
          </cell>
          <cell r="T13">
            <v>3772.361874</v>
          </cell>
          <cell r="U13">
            <v>0</v>
          </cell>
          <cell r="V13">
            <v>0</v>
          </cell>
          <cell r="W13" t="str">
            <v>内江</v>
          </cell>
          <cell r="X13">
            <v>6.52054</v>
          </cell>
          <cell r="Y13">
            <v>2003.268341</v>
          </cell>
          <cell r="Z13">
            <v>358.558068</v>
          </cell>
          <cell r="AA13">
            <v>134.460933</v>
          </cell>
        </row>
        <row r="14">
          <cell r="B14" t="str">
            <v>乐山</v>
          </cell>
          <cell r="C14">
            <v>10386.402363</v>
          </cell>
          <cell r="D14">
            <v>0</v>
          </cell>
          <cell r="E14">
            <v>1104</v>
          </cell>
          <cell r="F14">
            <v>1104</v>
          </cell>
          <cell r="G14">
            <v>0</v>
          </cell>
          <cell r="H14">
            <v>0</v>
          </cell>
          <cell r="I14">
            <v>-1938.0573</v>
          </cell>
          <cell r="J14">
            <v>100.806153</v>
          </cell>
          <cell r="K14">
            <v>7080.852502</v>
          </cell>
          <cell r="L14">
            <v>7265.02214</v>
          </cell>
          <cell r="M14">
            <v>49.067726</v>
          </cell>
          <cell r="N14">
            <v>11490.402363</v>
          </cell>
          <cell r="O14">
            <v>8448.345063</v>
          </cell>
          <cell r="P14">
            <v>8184.852502</v>
          </cell>
          <cell r="Q14">
            <v>3305.549861</v>
          </cell>
          <cell r="R14">
            <v>7314.089866</v>
          </cell>
          <cell r="S14">
            <v>1754.480524</v>
          </cell>
          <cell r="T14">
            <v>6430.371978</v>
          </cell>
          <cell r="U14">
            <v>0</v>
          </cell>
          <cell r="V14">
            <v>0</v>
          </cell>
          <cell r="W14" t="str">
            <v>乐山</v>
          </cell>
          <cell r="X14">
            <v>124.805998</v>
          </cell>
          <cell r="Y14">
            <v>4962.256972</v>
          </cell>
          <cell r="Z14">
            <v>1629.674526</v>
          </cell>
          <cell r="AA14">
            <v>364.115006</v>
          </cell>
        </row>
        <row r="15">
          <cell r="B15" t="str">
            <v>南充</v>
          </cell>
          <cell r="C15">
            <v>10289.088839</v>
          </cell>
          <cell r="D15">
            <v>0</v>
          </cell>
          <cell r="E15">
            <v>2640.577787</v>
          </cell>
          <cell r="F15">
            <v>2640.577787</v>
          </cell>
          <cell r="G15">
            <v>0</v>
          </cell>
          <cell r="H15">
            <v>0</v>
          </cell>
          <cell r="I15">
            <v>-2980.430954</v>
          </cell>
          <cell r="J15">
            <v>516.528279</v>
          </cell>
          <cell r="K15">
            <v>3969.569265</v>
          </cell>
          <cell r="L15">
            <v>8528.207013</v>
          </cell>
          <cell r="M15">
            <v>-254.056977</v>
          </cell>
          <cell r="N15">
            <v>12929.666626</v>
          </cell>
          <cell r="O15">
            <v>7308.657885</v>
          </cell>
          <cell r="P15">
            <v>6610.147052</v>
          </cell>
          <cell r="Q15">
            <v>6319.519574</v>
          </cell>
          <cell r="R15">
            <v>8274.150036</v>
          </cell>
          <cell r="S15">
            <v>719.964294</v>
          </cell>
          <cell r="T15">
            <v>5890.182758</v>
          </cell>
          <cell r="U15">
            <v>0</v>
          </cell>
          <cell r="V15">
            <v>0</v>
          </cell>
          <cell r="W15" t="str">
            <v>南充</v>
          </cell>
          <cell r="X15">
            <v>-49.782125</v>
          </cell>
          <cell r="Y15">
            <v>2980.793777</v>
          </cell>
          <cell r="Z15">
            <v>769.746419</v>
          </cell>
          <cell r="AA15">
            <v>268.811194</v>
          </cell>
        </row>
        <row r="16">
          <cell r="B16" t="str">
            <v>眉山</v>
          </cell>
          <cell r="C16">
            <v>3526.646969</v>
          </cell>
          <cell r="D16">
            <v>0</v>
          </cell>
          <cell r="E16">
            <v>987.522191</v>
          </cell>
          <cell r="F16">
            <v>987.522191</v>
          </cell>
          <cell r="G16">
            <v>0</v>
          </cell>
          <cell r="H16">
            <v>101.07</v>
          </cell>
          <cell r="I16">
            <v>-794.83284</v>
          </cell>
          <cell r="J16">
            <v>-10.857533</v>
          </cell>
          <cell r="K16">
            <v>1209.588345</v>
          </cell>
          <cell r="L16">
            <v>9624.370616</v>
          </cell>
          <cell r="M16">
            <v>154.551813</v>
          </cell>
          <cell r="N16">
            <v>4615.23916</v>
          </cell>
          <cell r="O16">
            <v>2731.814129</v>
          </cell>
          <cell r="P16">
            <v>2197.110536</v>
          </cell>
          <cell r="Q16">
            <v>2418.128624</v>
          </cell>
          <cell r="R16">
            <v>9778.922429</v>
          </cell>
          <cell r="S16">
            <v>193.118864</v>
          </cell>
          <cell r="T16">
            <v>2003.991672</v>
          </cell>
          <cell r="U16">
            <v>0</v>
          </cell>
          <cell r="V16">
            <v>0</v>
          </cell>
          <cell r="W16" t="str">
            <v>眉山</v>
          </cell>
          <cell r="X16">
            <v>18.317466</v>
          </cell>
          <cell r="Y16">
            <v>796.851171</v>
          </cell>
          <cell r="Z16">
            <v>174.801398</v>
          </cell>
          <cell r="AA16">
            <v>219.61831</v>
          </cell>
        </row>
        <row r="17">
          <cell r="B17" t="str">
            <v>宜宾</v>
          </cell>
          <cell r="C17">
            <v>6125.181502</v>
          </cell>
          <cell r="D17">
            <v>0</v>
          </cell>
          <cell r="E17">
            <v>145.026831</v>
          </cell>
          <cell r="F17">
            <v>145.026831</v>
          </cell>
          <cell r="G17">
            <v>0</v>
          </cell>
          <cell r="H17">
            <v>0</v>
          </cell>
          <cell r="I17">
            <v>-1894.127746</v>
          </cell>
          <cell r="J17">
            <v>134.97547</v>
          </cell>
          <cell r="K17">
            <v>3188.730936</v>
          </cell>
          <cell r="L17">
            <v>8183.749009</v>
          </cell>
          <cell r="M17">
            <v>4.778988</v>
          </cell>
          <cell r="N17">
            <v>6270.208333</v>
          </cell>
          <cell r="O17">
            <v>4231.053756</v>
          </cell>
          <cell r="P17">
            <v>3333.757767</v>
          </cell>
          <cell r="Q17">
            <v>2936.450566</v>
          </cell>
          <cell r="R17">
            <v>8188.527997</v>
          </cell>
          <cell r="S17">
            <v>835.350354</v>
          </cell>
          <cell r="T17">
            <v>2498.407413</v>
          </cell>
          <cell r="U17">
            <v>0</v>
          </cell>
          <cell r="V17">
            <v>0</v>
          </cell>
          <cell r="W17" t="str">
            <v>宜宾</v>
          </cell>
          <cell r="X17">
            <v>34.90556</v>
          </cell>
          <cell r="Y17">
            <v>1938.714689</v>
          </cell>
          <cell r="Z17">
            <v>800.444794</v>
          </cell>
          <cell r="AA17">
            <v>414.665893</v>
          </cell>
        </row>
        <row r="18">
          <cell r="B18" t="str">
            <v>广安</v>
          </cell>
          <cell r="C18">
            <v>5171.181914</v>
          </cell>
          <cell r="D18">
            <v>0</v>
          </cell>
          <cell r="E18">
            <v>49.967942</v>
          </cell>
          <cell r="F18">
            <v>49.967942</v>
          </cell>
          <cell r="G18">
            <v>0</v>
          </cell>
          <cell r="H18">
            <v>0</v>
          </cell>
          <cell r="I18">
            <v>-1533.805178</v>
          </cell>
          <cell r="J18">
            <v>147.516749</v>
          </cell>
          <cell r="K18">
            <v>3258.478969</v>
          </cell>
          <cell r="L18">
            <v>3577.398783</v>
          </cell>
          <cell r="M18">
            <v>-6.098006</v>
          </cell>
          <cell r="N18">
            <v>5221.149856</v>
          </cell>
          <cell r="O18">
            <v>3637.376736</v>
          </cell>
          <cell r="P18">
            <v>3308.446911</v>
          </cell>
          <cell r="Q18">
            <v>1912.702945</v>
          </cell>
          <cell r="R18">
            <v>3571.300777</v>
          </cell>
          <cell r="S18">
            <v>1225.263054</v>
          </cell>
          <cell r="T18">
            <v>2083.183857</v>
          </cell>
          <cell r="U18">
            <v>0</v>
          </cell>
          <cell r="V18">
            <v>0</v>
          </cell>
          <cell r="W18" t="str">
            <v>广安</v>
          </cell>
          <cell r="X18">
            <v>7.698361</v>
          </cell>
          <cell r="Y18">
            <v>1776.354455</v>
          </cell>
          <cell r="Z18">
            <v>1217.564693</v>
          </cell>
          <cell r="AA18">
            <v>256.86146</v>
          </cell>
        </row>
        <row r="19">
          <cell r="B19" t="str">
            <v>达州</v>
          </cell>
          <cell r="C19">
            <v>7502.377604</v>
          </cell>
          <cell r="D19">
            <v>0</v>
          </cell>
          <cell r="E19">
            <v>2246.7506</v>
          </cell>
          <cell r="F19">
            <v>2246.7506</v>
          </cell>
          <cell r="G19">
            <v>0</v>
          </cell>
          <cell r="H19">
            <v>0</v>
          </cell>
          <cell r="I19">
            <v>-2677.87868</v>
          </cell>
          <cell r="J19">
            <v>-234.285945</v>
          </cell>
          <cell r="K19">
            <v>2633.796245</v>
          </cell>
          <cell r="L19">
            <v>6365.765461</v>
          </cell>
          <cell r="M19">
            <v>751.021234</v>
          </cell>
          <cell r="N19">
            <v>9749.128204</v>
          </cell>
          <cell r="O19">
            <v>4824.498924</v>
          </cell>
          <cell r="P19">
            <v>4880.546845</v>
          </cell>
          <cell r="Q19">
            <v>4868.581359</v>
          </cell>
          <cell r="R19">
            <v>7116.786695</v>
          </cell>
          <cell r="S19">
            <v>860.01599</v>
          </cell>
          <cell r="T19">
            <v>4020.530855</v>
          </cell>
          <cell r="U19">
            <v>0</v>
          </cell>
          <cell r="V19">
            <v>0</v>
          </cell>
          <cell r="W19" t="str">
            <v>达州</v>
          </cell>
          <cell r="X19">
            <v>62.471439</v>
          </cell>
          <cell r="Y19">
            <v>1300.02831</v>
          </cell>
          <cell r="Z19">
            <v>797.544551</v>
          </cell>
          <cell r="AA19">
            <v>473.751945</v>
          </cell>
        </row>
        <row r="20">
          <cell r="B20" t="str">
            <v>雅安</v>
          </cell>
          <cell r="C20">
            <v>2415.183585</v>
          </cell>
          <cell r="D20">
            <v>0</v>
          </cell>
          <cell r="E20">
            <v>311.245369</v>
          </cell>
          <cell r="F20">
            <v>311.245369</v>
          </cell>
          <cell r="G20">
            <v>0</v>
          </cell>
          <cell r="H20">
            <v>0</v>
          </cell>
          <cell r="I20">
            <v>-554.225069</v>
          </cell>
          <cell r="J20">
            <v>66.539254</v>
          </cell>
          <cell r="K20">
            <v>1006.229908</v>
          </cell>
          <cell r="L20">
            <v>3710.840564</v>
          </cell>
          <cell r="M20">
            <v>23.300666</v>
          </cell>
          <cell r="N20">
            <v>2726.428954</v>
          </cell>
          <cell r="O20">
            <v>1860.958516</v>
          </cell>
          <cell r="P20">
            <v>1317.475277</v>
          </cell>
          <cell r="Q20">
            <v>1408.953677</v>
          </cell>
          <cell r="R20">
            <v>3734.14123</v>
          </cell>
          <cell r="S20">
            <v>1133.603784</v>
          </cell>
          <cell r="T20">
            <v>183.871493</v>
          </cell>
          <cell r="U20">
            <v>0</v>
          </cell>
          <cell r="V20">
            <v>0</v>
          </cell>
          <cell r="W20" t="str">
            <v>雅安</v>
          </cell>
          <cell r="X20">
            <v>753.914474</v>
          </cell>
          <cell r="Y20">
            <v>-239.063391</v>
          </cell>
          <cell r="Z20">
            <v>379.68931</v>
          </cell>
          <cell r="AA20">
            <v>111.689515</v>
          </cell>
        </row>
        <row r="21">
          <cell r="B21" t="str">
            <v>巴中</v>
          </cell>
          <cell r="C21">
            <v>7115.8747</v>
          </cell>
          <cell r="D21">
            <v>0</v>
          </cell>
          <cell r="E21">
            <v>1827.1421</v>
          </cell>
          <cell r="F21">
            <v>1827.1421</v>
          </cell>
          <cell r="G21">
            <v>0</v>
          </cell>
          <cell r="H21">
            <v>0</v>
          </cell>
          <cell r="I21">
            <v>-1345.108178</v>
          </cell>
          <cell r="J21">
            <v>8.27806500000001</v>
          </cell>
          <cell r="K21">
            <v>4802.038962</v>
          </cell>
          <cell r="L21">
            <v>6365.029452</v>
          </cell>
          <cell r="M21">
            <v>13.826828</v>
          </cell>
          <cell r="N21">
            <v>8943.0168</v>
          </cell>
          <cell r="O21">
            <v>5770.766522</v>
          </cell>
          <cell r="P21">
            <v>6629.181062</v>
          </cell>
          <cell r="Q21">
            <v>2313.835738</v>
          </cell>
          <cell r="R21">
            <v>6378.85628</v>
          </cell>
          <cell r="S21">
            <v>992.106907</v>
          </cell>
          <cell r="T21">
            <v>5637.074155</v>
          </cell>
          <cell r="U21">
            <v>0</v>
          </cell>
          <cell r="V21">
            <v>0</v>
          </cell>
          <cell r="W21" t="str">
            <v>巴中</v>
          </cell>
          <cell r="X21">
            <v>29.673393</v>
          </cell>
          <cell r="Y21">
            <v>3221.309392</v>
          </cell>
          <cell r="Z21">
            <v>962.433514</v>
          </cell>
          <cell r="AA21">
            <v>588.622663</v>
          </cell>
        </row>
        <row r="22">
          <cell r="B22" t="str">
            <v>资阳</v>
          </cell>
          <cell r="C22">
            <v>2752.230812</v>
          </cell>
          <cell r="D22">
            <v>0</v>
          </cell>
          <cell r="E22">
            <v>812.876996</v>
          </cell>
          <cell r="F22">
            <v>812.876996</v>
          </cell>
          <cell r="G22">
            <v>0</v>
          </cell>
          <cell r="H22">
            <v>0</v>
          </cell>
          <cell r="I22">
            <v>-700.933889</v>
          </cell>
          <cell r="J22">
            <v>54.039699</v>
          </cell>
          <cell r="K22">
            <v>1662.786313</v>
          </cell>
          <cell r="L22">
            <v>3882.448494</v>
          </cell>
          <cell r="M22">
            <v>4.758452</v>
          </cell>
          <cell r="N22">
            <v>3565.107808</v>
          </cell>
          <cell r="O22">
            <v>2051.296923</v>
          </cell>
          <cell r="P22">
            <v>2475.663309</v>
          </cell>
          <cell r="Q22">
            <v>1089.444499</v>
          </cell>
          <cell r="R22">
            <v>3887.206946</v>
          </cell>
          <cell r="S22">
            <v>272.878926</v>
          </cell>
          <cell r="T22">
            <v>2202.784383</v>
          </cell>
          <cell r="U22">
            <v>0</v>
          </cell>
          <cell r="V22">
            <v>0</v>
          </cell>
          <cell r="W22" t="str">
            <v>资阳</v>
          </cell>
          <cell r="X22">
            <v>3.562761</v>
          </cell>
          <cell r="Y22">
            <v>1206.124833</v>
          </cell>
          <cell r="Z22">
            <v>269.316165</v>
          </cell>
          <cell r="AA22">
            <v>183.782554</v>
          </cell>
        </row>
        <row r="23">
          <cell r="B23" t="str">
            <v>阿坝</v>
          </cell>
          <cell r="C23">
            <v>2924.601469</v>
          </cell>
          <cell r="D23">
            <v>0</v>
          </cell>
          <cell r="E23">
            <v>382.92</v>
          </cell>
          <cell r="F23">
            <v>382.92</v>
          </cell>
          <cell r="G23">
            <v>0</v>
          </cell>
          <cell r="H23">
            <v>0</v>
          </cell>
          <cell r="I23">
            <v>-1081.857708</v>
          </cell>
          <cell r="J23">
            <v>323.660373</v>
          </cell>
          <cell r="K23">
            <v>1378.982627</v>
          </cell>
          <cell r="L23">
            <v>6488.566932</v>
          </cell>
          <cell r="M23">
            <v>440.959462</v>
          </cell>
          <cell r="N23">
            <v>3307.521469</v>
          </cell>
          <cell r="O23">
            <v>1842.743761</v>
          </cell>
          <cell r="P23">
            <v>1761.902627</v>
          </cell>
          <cell r="Q23">
            <v>1545.618842</v>
          </cell>
          <cell r="R23">
            <v>6929.526394</v>
          </cell>
          <cell r="S23">
            <v>764.146484</v>
          </cell>
          <cell r="T23">
            <v>997.756143</v>
          </cell>
          <cell r="U23">
            <v>0</v>
          </cell>
          <cell r="V23">
            <v>0</v>
          </cell>
          <cell r="W23" t="str">
            <v>阿坝</v>
          </cell>
          <cell r="X23">
            <v>36.402279</v>
          </cell>
          <cell r="Y23">
            <v>521.303169</v>
          </cell>
          <cell r="Z23">
            <v>727.744205</v>
          </cell>
          <cell r="AA23">
            <v>93.532974</v>
          </cell>
        </row>
        <row r="24">
          <cell r="B24" t="str">
            <v>甘孜</v>
          </cell>
          <cell r="C24">
            <v>4050.026913</v>
          </cell>
          <cell r="D24">
            <v>0</v>
          </cell>
          <cell r="E24">
            <v>1048.769125</v>
          </cell>
          <cell r="F24">
            <v>1048.769125</v>
          </cell>
          <cell r="G24">
            <v>0</v>
          </cell>
          <cell r="H24">
            <v>0</v>
          </cell>
          <cell r="I24">
            <v>-2413.610508</v>
          </cell>
          <cell r="J24">
            <v>115.290701</v>
          </cell>
          <cell r="K24">
            <v>2150.588885</v>
          </cell>
          <cell r="L24">
            <v>6220.714946</v>
          </cell>
          <cell r="M24">
            <v>215.897187</v>
          </cell>
          <cell r="N24">
            <v>5098.796038</v>
          </cell>
          <cell r="O24">
            <v>1636.416405</v>
          </cell>
          <cell r="P24">
            <v>3199.35801</v>
          </cell>
          <cell r="Q24">
            <v>1899.438028</v>
          </cell>
          <cell r="R24">
            <v>6436.612133</v>
          </cell>
          <cell r="S24">
            <v>1958.509468</v>
          </cell>
          <cell r="T24">
            <v>1240.848542</v>
          </cell>
          <cell r="U24">
            <v>0</v>
          </cell>
          <cell r="V24">
            <v>0</v>
          </cell>
          <cell r="W24" t="str">
            <v>甘孜</v>
          </cell>
          <cell r="X24">
            <v>1.34745</v>
          </cell>
          <cell r="Y24">
            <v>105.446871</v>
          </cell>
          <cell r="Z24">
            <v>1957.162018</v>
          </cell>
          <cell r="AA24">
            <v>86.632546</v>
          </cell>
        </row>
        <row r="25">
          <cell r="B25" t="str">
            <v>凉山</v>
          </cell>
          <cell r="C25">
            <v>7804.409336</v>
          </cell>
          <cell r="D25">
            <v>0</v>
          </cell>
          <cell r="E25">
            <v>342.3</v>
          </cell>
          <cell r="F25">
            <v>342.3</v>
          </cell>
          <cell r="G25">
            <v>0</v>
          </cell>
          <cell r="H25">
            <v>97.7875</v>
          </cell>
          <cell r="I25">
            <v>-2253.937123</v>
          </cell>
          <cell r="J25">
            <v>22.309826</v>
          </cell>
          <cell r="K25">
            <v>4478.014941</v>
          </cell>
          <cell r="L25">
            <v>11918.627946</v>
          </cell>
          <cell r="M25">
            <v>689.90087</v>
          </cell>
          <cell r="N25">
            <v>8244.496836</v>
          </cell>
          <cell r="O25">
            <v>5550.472213</v>
          </cell>
          <cell r="P25">
            <v>4820.314941</v>
          </cell>
          <cell r="Q25">
            <v>3424.181895</v>
          </cell>
          <cell r="R25">
            <v>12608.528816</v>
          </cell>
          <cell r="S25">
            <v>1680.120667</v>
          </cell>
          <cell r="T25">
            <v>3140.194274</v>
          </cell>
          <cell r="U25">
            <v>0</v>
          </cell>
          <cell r="V25">
            <v>0</v>
          </cell>
          <cell r="W25" t="str">
            <v>凉山</v>
          </cell>
          <cell r="X25">
            <v>7.238556</v>
          </cell>
          <cell r="Y25">
            <v>2467.777066</v>
          </cell>
          <cell r="Z25">
            <v>1672.882111</v>
          </cell>
          <cell r="AA25">
            <v>330.117208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>
  <externalBook xmlns:r="http://schemas.openxmlformats.org/officeDocument/2006/relationships" r:id="rId1">
    <sheetNames>
      <sheetName val="Sheet1"/>
      <sheetName val="计算结果表"/>
    </sheetNames>
    <sheetDataSet>
      <sheetData sheetId="0"/>
      <sheetData sheetId="1">
        <row r="1">
          <cell r="C1" t="str">
            <v>应收账款</v>
          </cell>
          <cell r="D1" t="str">
            <v>应收票据</v>
          </cell>
          <cell r="E1" t="str">
            <v>合同资产</v>
          </cell>
          <cell r="F1" t="str">
            <v>合同资产.产业数字化业务</v>
          </cell>
        </row>
        <row r="1">
          <cell r="H1" t="str">
            <v>营业款结算</v>
          </cell>
          <cell r="I1" t="str">
            <v>坏账</v>
          </cell>
          <cell r="J1" t="str">
            <v>信用减值损失</v>
          </cell>
          <cell r="K1" t="str">
            <v>产数应收</v>
          </cell>
          <cell r="L1" t="str">
            <v>预收账款(取负号）</v>
          </cell>
          <cell r="M1" t="str">
            <v>合同负债（取负号）</v>
          </cell>
          <cell r="N1" t="str">
            <v>应收账款总额</v>
          </cell>
          <cell r="O1" t="str">
            <v>应收账款净额</v>
          </cell>
          <cell r="P1" t="str">
            <v>产数应收总额</v>
          </cell>
          <cell r="Q1" t="str">
            <v>基础应收</v>
          </cell>
          <cell r="R1" t="str">
            <v>预收账款</v>
          </cell>
          <cell r="S1" t="str">
            <v>资源型应收账款总额</v>
          </cell>
          <cell r="T1" t="str">
            <v>产数ICT应收账款总额</v>
          </cell>
          <cell r="U1" t="str">
            <v>校验项1</v>
          </cell>
          <cell r="V1" t="str">
            <v>校验项2</v>
          </cell>
        </row>
        <row r="1">
          <cell r="X1" t="str">
            <v>IDC业务款</v>
          </cell>
          <cell r="Y1" t="str">
            <v>数字平台及集成业务款</v>
          </cell>
          <cell r="Z1" t="str">
            <v>组网专线业务款</v>
          </cell>
          <cell r="AA1" t="str">
            <v>其他</v>
          </cell>
        </row>
        <row r="2">
          <cell r="C2" t="str">
            <v>1122*</v>
          </cell>
          <cell r="D2" t="str">
            <v>1121*</v>
          </cell>
          <cell r="E2" t="str">
            <v>1126*</v>
          </cell>
          <cell r="F2">
            <v>1126010000</v>
          </cell>
          <cell r="G2">
            <v>1126020000</v>
          </cell>
          <cell r="H2" t="str">
            <v>1124*</v>
          </cell>
          <cell r="I2" t="str">
            <v>1231*</v>
          </cell>
          <cell r="J2" t="str">
            <v>6702*</v>
          </cell>
          <cell r="K2" t="str">
            <v>112203*</v>
          </cell>
          <cell r="L2" t="str">
            <v>2203*</v>
          </cell>
          <cell r="M2" t="str">
            <v>2204*</v>
          </cell>
        </row>
        <row r="2">
          <cell r="S2" t="str">
            <v>资源型应收=组网专线+IDC</v>
          </cell>
          <cell r="T2" t="str">
            <v>ICT应收=产数应收+合同资产-资源应收</v>
          </cell>
        </row>
        <row r="2">
          <cell r="X2" t="str">
            <v>1122030100</v>
          </cell>
          <cell r="Y2" t="str">
            <v>1122030200</v>
          </cell>
          <cell r="Z2" t="str">
            <v>1122030300</v>
          </cell>
          <cell r="AA2" t="str">
            <v>1122039900</v>
          </cell>
        </row>
        <row r="3">
          <cell r="B3" t="str">
            <v>省公司本部</v>
          </cell>
          <cell r="C3">
            <v>49465.544507</v>
          </cell>
          <cell r="D3">
            <v>0</v>
          </cell>
          <cell r="E3">
            <v>0</v>
          </cell>
          <cell r="F3">
            <v>0</v>
          </cell>
          <cell r="G3">
            <v>0</v>
          </cell>
          <cell r="H3">
            <v>754.908359</v>
          </cell>
          <cell r="I3">
            <v>-7038.999026</v>
          </cell>
          <cell r="J3">
            <v>547.044878</v>
          </cell>
          <cell r="K3">
            <v>36888.473907</v>
          </cell>
          <cell r="L3">
            <v>-849.443122</v>
          </cell>
          <cell r="M3">
            <v>1205.237049</v>
          </cell>
          <cell r="N3">
            <v>50220.452866</v>
          </cell>
          <cell r="O3">
            <v>42426.545481</v>
          </cell>
          <cell r="P3">
            <v>36888.473907</v>
          </cell>
          <cell r="Q3">
            <v>13331.978959</v>
          </cell>
          <cell r="R3">
            <v>355.793927</v>
          </cell>
          <cell r="S3">
            <v>35045.597187</v>
          </cell>
          <cell r="T3">
            <v>1842.87672</v>
          </cell>
          <cell r="U3">
            <v>0</v>
          </cell>
          <cell r="V3">
            <v>0</v>
          </cell>
          <cell r="W3" t="str">
            <v>省公司本部</v>
          </cell>
          <cell r="X3">
            <v>32332.573948</v>
          </cell>
          <cell r="Y3">
            <v>1683.62522</v>
          </cell>
          <cell r="Z3">
            <v>2713.023239</v>
          </cell>
          <cell r="AA3">
            <v>159.2515</v>
          </cell>
        </row>
        <row r="4">
          <cell r="B4" t="str">
            <v>成都</v>
          </cell>
          <cell r="C4">
            <v>76052.973493</v>
          </cell>
          <cell r="D4">
            <v>708.846883</v>
          </cell>
          <cell r="E4">
            <v>6311.118402</v>
          </cell>
          <cell r="F4">
            <v>6311.118402</v>
          </cell>
          <cell r="G4">
            <v>0</v>
          </cell>
          <cell r="H4">
            <v>-1557.150806</v>
          </cell>
          <cell r="I4">
            <v>-22293.796018</v>
          </cell>
          <cell r="J4">
            <v>937.250999</v>
          </cell>
          <cell r="K4">
            <v>56698.684621</v>
          </cell>
          <cell r="L4">
            <v>99304.052721</v>
          </cell>
          <cell r="M4">
            <v>2188.680956</v>
          </cell>
          <cell r="N4">
            <v>80806.941089</v>
          </cell>
          <cell r="O4">
            <v>53759.177475</v>
          </cell>
          <cell r="P4">
            <v>63009.803023</v>
          </cell>
          <cell r="Q4">
            <v>17797.138066</v>
          </cell>
          <cell r="R4">
            <v>101492.733677</v>
          </cell>
          <cell r="S4">
            <v>9826.241503</v>
          </cell>
          <cell r="T4">
            <v>53183.56152</v>
          </cell>
          <cell r="U4">
            <v>0</v>
          </cell>
          <cell r="V4">
            <v>0</v>
          </cell>
          <cell r="W4" t="str">
            <v>成都</v>
          </cell>
          <cell r="X4">
            <v>2541.588069</v>
          </cell>
          <cell r="Y4">
            <v>36478.660163</v>
          </cell>
          <cell r="Z4">
            <v>7284.653434</v>
          </cell>
          <cell r="AA4">
            <v>10393.782955</v>
          </cell>
        </row>
        <row r="5">
          <cell r="B5" t="str">
            <v>天府新区分公司</v>
          </cell>
          <cell r="C5">
            <v>0</v>
          </cell>
          <cell r="D5">
            <v>0</v>
          </cell>
          <cell r="E5">
            <v>0</v>
          </cell>
          <cell r="F5">
            <v>0</v>
          </cell>
          <cell r="G5">
            <v>0</v>
          </cell>
          <cell r="H5">
            <v>0</v>
          </cell>
          <cell r="I5">
            <v>0</v>
          </cell>
          <cell r="J5">
            <v>0</v>
          </cell>
          <cell r="K5">
            <v>0</v>
          </cell>
          <cell r="L5">
            <v>0</v>
          </cell>
          <cell r="M5">
            <v>0</v>
          </cell>
          <cell r="N5">
            <v>0</v>
          </cell>
          <cell r="O5">
            <v>0</v>
          </cell>
          <cell r="P5">
            <v>0</v>
          </cell>
          <cell r="Q5">
            <v>0</v>
          </cell>
          <cell r="R5">
            <v>0</v>
          </cell>
          <cell r="S5">
            <v>0</v>
          </cell>
          <cell r="T5">
            <v>0</v>
          </cell>
          <cell r="U5">
            <v>0</v>
          </cell>
          <cell r="V5">
            <v>0</v>
          </cell>
          <cell r="W5" t="str">
            <v>天府新区分公司</v>
          </cell>
          <cell r="X5">
            <v>0</v>
          </cell>
          <cell r="Y5">
            <v>0</v>
          </cell>
          <cell r="Z5">
            <v>0</v>
          </cell>
          <cell r="AA5">
            <v>0</v>
          </cell>
        </row>
        <row r="6">
          <cell r="B6" t="str">
            <v>自贡</v>
          </cell>
          <cell r="C6">
            <v>7690.582409</v>
          </cell>
          <cell r="D6">
            <v>0</v>
          </cell>
          <cell r="E6">
            <v>2079.608283</v>
          </cell>
          <cell r="F6">
            <v>2079.608283</v>
          </cell>
          <cell r="G6">
            <v>0</v>
          </cell>
          <cell r="H6">
            <v>-1353.502811</v>
          </cell>
          <cell r="I6">
            <v>-3496.631029</v>
          </cell>
          <cell r="J6">
            <v>515.338822</v>
          </cell>
          <cell r="K6">
            <v>5385.979052</v>
          </cell>
          <cell r="L6">
            <v>6614.486158</v>
          </cell>
          <cell r="M6">
            <v>567.831671</v>
          </cell>
          <cell r="N6">
            <v>8416.687881</v>
          </cell>
          <cell r="O6">
            <v>4193.95138</v>
          </cell>
          <cell r="P6">
            <v>7465.587335</v>
          </cell>
          <cell r="Q6">
            <v>951.100546</v>
          </cell>
          <cell r="R6">
            <v>7182.317829</v>
          </cell>
          <cell r="S6">
            <v>548.420929</v>
          </cell>
          <cell r="T6">
            <v>6917.166406</v>
          </cell>
          <cell r="U6">
            <v>0</v>
          </cell>
          <cell r="V6">
            <v>0</v>
          </cell>
          <cell r="W6" t="str">
            <v>自贡</v>
          </cell>
          <cell r="X6">
            <v>5.713981</v>
          </cell>
          <cell r="Y6">
            <v>4559.034824</v>
          </cell>
          <cell r="Z6">
            <v>542.706948</v>
          </cell>
          <cell r="AA6">
            <v>278.523299</v>
          </cell>
        </row>
        <row r="7">
          <cell r="B7" t="str">
            <v>攀枝花</v>
          </cell>
          <cell r="C7">
            <v>3689.775278</v>
          </cell>
          <cell r="D7">
            <v>0</v>
          </cell>
          <cell r="E7">
            <v>622.896318</v>
          </cell>
          <cell r="F7">
            <v>622.896318</v>
          </cell>
          <cell r="G7">
            <v>0</v>
          </cell>
          <cell r="H7">
            <v>140.268385</v>
          </cell>
          <cell r="I7">
            <v>-2453.948014</v>
          </cell>
          <cell r="J7">
            <v>128.651978</v>
          </cell>
          <cell r="K7">
            <v>2154.160485</v>
          </cell>
          <cell r="L7">
            <v>3530.289578</v>
          </cell>
          <cell r="M7">
            <v>42.061501</v>
          </cell>
          <cell r="N7">
            <v>4452.939981</v>
          </cell>
          <cell r="O7">
            <v>1235.827264</v>
          </cell>
          <cell r="P7">
            <v>2777.056803</v>
          </cell>
          <cell r="Q7">
            <v>1675.883178</v>
          </cell>
          <cell r="R7">
            <v>3572.351079</v>
          </cell>
          <cell r="S7">
            <v>647.25239</v>
          </cell>
          <cell r="T7">
            <v>2129.804413</v>
          </cell>
          <cell r="U7">
            <v>0</v>
          </cell>
          <cell r="V7">
            <v>0</v>
          </cell>
          <cell r="W7" t="str">
            <v>攀枝花</v>
          </cell>
          <cell r="X7">
            <v>23.564614</v>
          </cell>
          <cell r="Y7">
            <v>1362.590452</v>
          </cell>
          <cell r="Z7">
            <v>623.687776</v>
          </cell>
          <cell r="AA7">
            <v>144.317643</v>
          </cell>
        </row>
        <row r="8">
          <cell r="B8" t="str">
            <v>泸州</v>
          </cell>
          <cell r="C8">
            <v>14919.318731</v>
          </cell>
          <cell r="D8">
            <v>0</v>
          </cell>
          <cell r="E8">
            <v>480.127657</v>
          </cell>
          <cell r="F8">
            <v>0</v>
          </cell>
          <cell r="G8">
            <v>480.127657</v>
          </cell>
          <cell r="H8">
            <v>-2605.468982</v>
          </cell>
          <cell r="I8">
            <v>-4423.394982</v>
          </cell>
          <cell r="J8">
            <v>966.722472</v>
          </cell>
          <cell r="K8">
            <v>9097.664597</v>
          </cell>
          <cell r="L8">
            <v>7637.840178</v>
          </cell>
          <cell r="M8">
            <v>274.929145</v>
          </cell>
          <cell r="N8">
            <v>12793.977406</v>
          </cell>
          <cell r="O8">
            <v>10495.923749</v>
          </cell>
          <cell r="P8">
            <v>9097.664597</v>
          </cell>
          <cell r="Q8">
            <v>3696.312809</v>
          </cell>
          <cell r="R8">
            <v>7912.769323</v>
          </cell>
          <cell r="S8">
            <v>1659.359118</v>
          </cell>
          <cell r="T8">
            <v>7438.305479</v>
          </cell>
          <cell r="U8">
            <v>0</v>
          </cell>
          <cell r="V8">
            <v>0</v>
          </cell>
          <cell r="W8" t="str">
            <v>泸州</v>
          </cell>
          <cell r="X8">
            <v>258.002464</v>
          </cell>
          <cell r="Y8">
            <v>6445.892417</v>
          </cell>
          <cell r="Z8">
            <v>1401.356654</v>
          </cell>
          <cell r="AA8">
            <v>992.413062</v>
          </cell>
        </row>
        <row r="9">
          <cell r="B9" t="str">
            <v>德阳</v>
          </cell>
          <cell r="C9">
            <v>12939.459486</v>
          </cell>
          <cell r="D9">
            <v>464.004933</v>
          </cell>
          <cell r="E9">
            <v>0</v>
          </cell>
          <cell r="F9">
            <v>0</v>
          </cell>
          <cell r="G9">
            <v>0</v>
          </cell>
          <cell r="H9">
            <v>-584.383902</v>
          </cell>
          <cell r="I9">
            <v>-4145.26626</v>
          </cell>
          <cell r="J9">
            <v>531.167182</v>
          </cell>
          <cell r="K9">
            <v>9253.823733</v>
          </cell>
          <cell r="L9">
            <v>8467.439045</v>
          </cell>
          <cell r="M9">
            <v>33.831167</v>
          </cell>
          <cell r="N9">
            <v>12355.075584</v>
          </cell>
          <cell r="O9">
            <v>8794.193226</v>
          </cell>
          <cell r="P9">
            <v>9253.823733</v>
          </cell>
          <cell r="Q9">
            <v>3101.251851</v>
          </cell>
          <cell r="R9">
            <v>8501.270212</v>
          </cell>
          <cell r="S9">
            <v>2539.396814</v>
          </cell>
          <cell r="T9">
            <v>6714.426919</v>
          </cell>
          <cell r="U9">
            <v>0</v>
          </cell>
          <cell r="V9">
            <v>0</v>
          </cell>
          <cell r="W9" t="str">
            <v>德阳</v>
          </cell>
          <cell r="X9">
            <v>1154.729031</v>
          </cell>
          <cell r="Y9">
            <v>6250.08841</v>
          </cell>
          <cell r="Z9">
            <v>1384.667783</v>
          </cell>
          <cell r="AA9">
            <v>464.338509</v>
          </cell>
        </row>
        <row r="10">
          <cell r="B10" t="str">
            <v>绵阳</v>
          </cell>
          <cell r="C10">
            <v>13576.483358</v>
          </cell>
          <cell r="D10">
            <v>18.905964</v>
          </cell>
          <cell r="E10">
            <v>227</v>
          </cell>
          <cell r="F10">
            <v>227</v>
          </cell>
          <cell r="G10">
            <v>0</v>
          </cell>
          <cell r="H10">
            <v>-160.402395</v>
          </cell>
          <cell r="I10">
            <v>-3022.977461</v>
          </cell>
          <cell r="J10">
            <v>471.654875</v>
          </cell>
          <cell r="K10">
            <v>7657.049916</v>
          </cell>
          <cell r="L10">
            <v>12459.518168</v>
          </cell>
          <cell r="M10">
            <v>181.151349</v>
          </cell>
          <cell r="N10">
            <v>13643.080963</v>
          </cell>
          <cell r="O10">
            <v>10553.505897</v>
          </cell>
          <cell r="P10">
            <v>7884.049916</v>
          </cell>
          <cell r="Q10">
            <v>5759.031047</v>
          </cell>
          <cell r="R10">
            <v>12640.669517</v>
          </cell>
          <cell r="S10">
            <v>1284.398574</v>
          </cell>
          <cell r="T10">
            <v>6599.651342</v>
          </cell>
          <cell r="U10">
            <v>0</v>
          </cell>
          <cell r="V10">
            <v>0</v>
          </cell>
          <cell r="W10" t="str">
            <v>绵阳</v>
          </cell>
          <cell r="X10">
            <v>378.691677</v>
          </cell>
          <cell r="Y10">
            <v>5560.768545</v>
          </cell>
          <cell r="Z10">
            <v>905.706897</v>
          </cell>
          <cell r="AA10">
            <v>811.882797</v>
          </cell>
        </row>
        <row r="11">
          <cell r="B11" t="str">
            <v>广元</v>
          </cell>
          <cell r="C11">
            <v>8119.111114</v>
          </cell>
          <cell r="D11">
            <v>0</v>
          </cell>
          <cell r="E11">
            <v>0</v>
          </cell>
          <cell r="F11">
            <v>0</v>
          </cell>
          <cell r="G11">
            <v>0</v>
          </cell>
          <cell r="H11">
            <v>-195.259071</v>
          </cell>
          <cell r="I11">
            <v>-2015.8595</v>
          </cell>
          <cell r="J11">
            <v>550.866006</v>
          </cell>
          <cell r="K11">
            <v>4971.762642</v>
          </cell>
          <cell r="L11">
            <v>4641.638886</v>
          </cell>
          <cell r="M11">
            <v>277.632272</v>
          </cell>
          <cell r="N11">
            <v>7923.852043</v>
          </cell>
          <cell r="O11">
            <v>6103.251614</v>
          </cell>
          <cell r="P11">
            <v>4971.762642</v>
          </cell>
          <cell r="Q11">
            <v>2952.089401</v>
          </cell>
          <cell r="R11">
            <v>4919.271158</v>
          </cell>
          <cell r="S11">
            <v>604.531373</v>
          </cell>
          <cell r="T11">
            <v>4367.231269</v>
          </cell>
          <cell r="U11">
            <v>0</v>
          </cell>
          <cell r="V11">
            <v>0</v>
          </cell>
          <cell r="W11" t="str">
            <v>广元</v>
          </cell>
          <cell r="X11">
            <v>70.97104</v>
          </cell>
          <cell r="Y11">
            <v>4245.952701</v>
          </cell>
          <cell r="Z11">
            <v>533.560333</v>
          </cell>
          <cell r="AA11">
            <v>121.278568</v>
          </cell>
        </row>
        <row r="12">
          <cell r="B12" t="str">
            <v>遂宁</v>
          </cell>
          <cell r="C12">
            <v>6394.90027</v>
          </cell>
          <cell r="D12">
            <v>0</v>
          </cell>
          <cell r="E12">
            <v>579.2655</v>
          </cell>
          <cell r="F12">
            <v>579.2655</v>
          </cell>
          <cell r="G12">
            <v>0</v>
          </cell>
          <cell r="H12">
            <v>-226.027331</v>
          </cell>
          <cell r="I12">
            <v>-1518.639378</v>
          </cell>
          <cell r="J12">
            <v>250.027741</v>
          </cell>
          <cell r="K12">
            <v>4721.622756</v>
          </cell>
          <cell r="L12">
            <v>3522.337312</v>
          </cell>
          <cell r="M12">
            <v>211.0818</v>
          </cell>
          <cell r="N12">
            <v>6748.138439</v>
          </cell>
          <cell r="O12">
            <v>4876.260892</v>
          </cell>
          <cell r="P12">
            <v>5300.888256</v>
          </cell>
          <cell r="Q12">
            <v>1447.250183</v>
          </cell>
          <cell r="R12">
            <v>3733.419112</v>
          </cell>
          <cell r="S12">
            <v>758.279609</v>
          </cell>
          <cell r="T12">
            <v>4542.608647</v>
          </cell>
          <cell r="U12">
            <v>0</v>
          </cell>
          <cell r="V12">
            <v>0</v>
          </cell>
          <cell r="W12" t="str">
            <v>遂宁</v>
          </cell>
          <cell r="X12">
            <v>134.780673</v>
          </cell>
          <cell r="Y12">
            <v>3796.853814</v>
          </cell>
          <cell r="Z12">
            <v>623.498936</v>
          </cell>
          <cell r="AA12">
            <v>166.489333</v>
          </cell>
        </row>
        <row r="13">
          <cell r="B13" t="str">
            <v>内江</v>
          </cell>
          <cell r="C13">
            <v>6330.750234</v>
          </cell>
          <cell r="D13">
            <v>0</v>
          </cell>
          <cell r="E13">
            <v>969.477</v>
          </cell>
          <cell r="F13">
            <v>969.477</v>
          </cell>
          <cell r="G13">
            <v>0</v>
          </cell>
          <cell r="H13">
            <v>191.20239</v>
          </cell>
          <cell r="I13">
            <v>-2147.448324</v>
          </cell>
          <cell r="J13">
            <v>381.137657</v>
          </cell>
          <cell r="K13">
            <v>3526.361504</v>
          </cell>
          <cell r="L13">
            <v>5113.14487</v>
          </cell>
          <cell r="M13">
            <v>35.979253</v>
          </cell>
          <cell r="N13">
            <v>7491.429624</v>
          </cell>
          <cell r="O13">
            <v>4183.30191</v>
          </cell>
          <cell r="P13">
            <v>4495.838504</v>
          </cell>
          <cell r="Q13">
            <v>2995.59112</v>
          </cell>
          <cell r="R13">
            <v>5149.124123</v>
          </cell>
          <cell r="S13">
            <v>698.684226</v>
          </cell>
          <cell r="T13">
            <v>3797.154278</v>
          </cell>
          <cell r="U13">
            <v>0</v>
          </cell>
          <cell r="V13">
            <v>0</v>
          </cell>
          <cell r="W13" t="str">
            <v>内江</v>
          </cell>
          <cell r="X13">
            <v>5.329849</v>
          </cell>
          <cell r="Y13">
            <v>2610.155603</v>
          </cell>
          <cell r="Z13">
            <v>693.354377</v>
          </cell>
          <cell r="AA13">
            <v>217.521675</v>
          </cell>
        </row>
        <row r="14">
          <cell r="B14" t="str">
            <v>乐山</v>
          </cell>
          <cell r="C14">
            <v>14512.956729</v>
          </cell>
          <cell r="D14">
            <v>0</v>
          </cell>
          <cell r="E14">
            <v>1071.391182</v>
          </cell>
          <cell r="F14">
            <v>1071.391182</v>
          </cell>
          <cell r="G14">
            <v>0</v>
          </cell>
          <cell r="H14">
            <v>126.841958</v>
          </cell>
          <cell r="I14">
            <v>-3198.294707</v>
          </cell>
          <cell r="J14">
            <v>621.414556</v>
          </cell>
          <cell r="K14">
            <v>10001.943227</v>
          </cell>
          <cell r="L14">
            <v>6425.973178</v>
          </cell>
          <cell r="M14">
            <v>135.205584</v>
          </cell>
          <cell r="N14">
            <v>15711.189869</v>
          </cell>
          <cell r="O14">
            <v>11314.662022</v>
          </cell>
          <cell r="P14">
            <v>11073.334409</v>
          </cell>
          <cell r="Q14">
            <v>4637.85546</v>
          </cell>
          <cell r="R14">
            <v>6561.178762</v>
          </cell>
          <cell r="S14">
            <v>1443.234807</v>
          </cell>
          <cell r="T14">
            <v>9630.099602</v>
          </cell>
          <cell r="U14">
            <v>0</v>
          </cell>
          <cell r="V14">
            <v>0</v>
          </cell>
          <cell r="W14" t="str">
            <v>乐山</v>
          </cell>
          <cell r="X14">
            <v>130.836978</v>
          </cell>
          <cell r="Y14">
            <v>7927.134405</v>
          </cell>
          <cell r="Z14">
            <v>1312.397829</v>
          </cell>
          <cell r="AA14">
            <v>631.574015</v>
          </cell>
        </row>
        <row r="15">
          <cell r="B15" t="str">
            <v>南充</v>
          </cell>
          <cell r="C15">
            <v>18341.892002</v>
          </cell>
          <cell r="D15">
            <v>0</v>
          </cell>
          <cell r="E15">
            <v>300.162835</v>
          </cell>
          <cell r="F15">
            <v>300.162835</v>
          </cell>
          <cell r="G15">
            <v>0</v>
          </cell>
          <cell r="H15">
            <v>655.504494</v>
          </cell>
          <cell r="I15">
            <v>-4965.257975</v>
          </cell>
          <cell r="J15">
            <v>626.31263</v>
          </cell>
          <cell r="K15">
            <v>10477.025917</v>
          </cell>
          <cell r="L15">
            <v>9537.657198</v>
          </cell>
          <cell r="M15">
            <v>-87.361807</v>
          </cell>
          <cell r="N15">
            <v>19297.559331</v>
          </cell>
          <cell r="O15">
            <v>13376.634027</v>
          </cell>
          <cell r="P15">
            <v>10777.188752</v>
          </cell>
          <cell r="Q15">
            <v>8520.370579</v>
          </cell>
          <cell r="R15">
            <v>9450.295391</v>
          </cell>
          <cell r="S15">
            <v>1053.885624</v>
          </cell>
          <cell r="T15">
            <v>9723.303128</v>
          </cell>
          <cell r="U15">
            <v>0</v>
          </cell>
          <cell r="V15">
            <v>0</v>
          </cell>
          <cell r="W15" t="str">
            <v>南充</v>
          </cell>
          <cell r="X15">
            <v>29.102905</v>
          </cell>
          <cell r="Y15">
            <v>9121.434521</v>
          </cell>
          <cell r="Z15">
            <v>1024.782719</v>
          </cell>
          <cell r="AA15">
            <v>301.705772</v>
          </cell>
        </row>
        <row r="16">
          <cell r="B16" t="str">
            <v>眉山</v>
          </cell>
          <cell r="C16">
            <v>11799.553564</v>
          </cell>
          <cell r="D16">
            <v>191.13136</v>
          </cell>
          <cell r="E16">
            <v>341.934718</v>
          </cell>
          <cell r="F16">
            <v>341.934718</v>
          </cell>
          <cell r="G16">
            <v>0</v>
          </cell>
          <cell r="H16">
            <v>-1043.089757</v>
          </cell>
          <cell r="I16">
            <v>-2514.421767</v>
          </cell>
          <cell r="J16">
            <v>515.253114</v>
          </cell>
          <cell r="K16">
            <v>7927.908519</v>
          </cell>
          <cell r="L16">
            <v>6296.044028</v>
          </cell>
          <cell r="M16">
            <v>-57.874798</v>
          </cell>
          <cell r="N16">
            <v>11098.398525</v>
          </cell>
          <cell r="O16">
            <v>9285.131797</v>
          </cell>
          <cell r="P16">
            <v>8269.843237</v>
          </cell>
          <cell r="Q16">
            <v>2828.555288</v>
          </cell>
          <cell r="R16">
            <v>6238.16923</v>
          </cell>
          <cell r="S16">
            <v>683.454743</v>
          </cell>
          <cell r="T16">
            <v>7586.388494</v>
          </cell>
          <cell r="U16">
            <v>0</v>
          </cell>
          <cell r="V16">
            <v>0</v>
          </cell>
          <cell r="W16" t="str">
            <v>眉山</v>
          </cell>
          <cell r="X16">
            <v>49.132142</v>
          </cell>
          <cell r="Y16">
            <v>6656.031273</v>
          </cell>
          <cell r="Z16">
            <v>634.322601</v>
          </cell>
          <cell r="AA16">
            <v>588.422503</v>
          </cell>
        </row>
        <row r="17">
          <cell r="B17" t="str">
            <v>宜宾</v>
          </cell>
          <cell r="C17">
            <v>13882.06498</v>
          </cell>
          <cell r="D17">
            <v>0</v>
          </cell>
          <cell r="E17">
            <v>422.226831</v>
          </cell>
          <cell r="F17">
            <v>422.226831</v>
          </cell>
          <cell r="G17">
            <v>0</v>
          </cell>
          <cell r="H17">
            <v>91.222788</v>
          </cell>
          <cell r="I17">
            <v>-4206.255165</v>
          </cell>
          <cell r="J17">
            <v>1061.14525</v>
          </cell>
          <cell r="K17">
            <v>8636.879706</v>
          </cell>
          <cell r="L17">
            <v>7653.095434</v>
          </cell>
          <cell r="M17">
            <v>-63.614859</v>
          </cell>
          <cell r="N17">
            <v>14395.514599</v>
          </cell>
          <cell r="O17">
            <v>9675.809815</v>
          </cell>
          <cell r="P17">
            <v>9059.106537</v>
          </cell>
          <cell r="Q17">
            <v>5336.408062</v>
          </cell>
          <cell r="R17">
            <v>7589.480575</v>
          </cell>
          <cell r="S17">
            <v>1677.340774</v>
          </cell>
          <cell r="T17">
            <v>7381.765763</v>
          </cell>
          <cell r="U17">
            <v>0</v>
          </cell>
          <cell r="V17">
            <v>0</v>
          </cell>
          <cell r="W17" t="str">
            <v>宜宾</v>
          </cell>
          <cell r="X17">
            <v>107.089333</v>
          </cell>
          <cell r="Y17">
            <v>6538.144342</v>
          </cell>
          <cell r="Z17">
            <v>1570.251441</v>
          </cell>
          <cell r="AA17">
            <v>421.39459</v>
          </cell>
        </row>
        <row r="18">
          <cell r="B18" t="str">
            <v>广安</v>
          </cell>
          <cell r="C18">
            <v>9594.780186</v>
          </cell>
          <cell r="D18">
            <v>0</v>
          </cell>
          <cell r="E18">
            <v>49.967942</v>
          </cell>
          <cell r="F18">
            <v>49.967942</v>
          </cell>
          <cell r="G18">
            <v>0</v>
          </cell>
          <cell r="H18">
            <v>-260.425271</v>
          </cell>
          <cell r="I18">
            <v>-2059.812781</v>
          </cell>
          <cell r="J18">
            <v>-246.946942</v>
          </cell>
          <cell r="K18">
            <v>6910.076083</v>
          </cell>
          <cell r="L18">
            <v>3510.216262</v>
          </cell>
          <cell r="M18">
            <v>36.908554</v>
          </cell>
          <cell r="N18">
            <v>9384.322857</v>
          </cell>
          <cell r="O18">
            <v>7534.967405</v>
          </cell>
          <cell r="P18">
            <v>6960.044025</v>
          </cell>
          <cell r="Q18">
            <v>2424.278832</v>
          </cell>
          <cell r="R18">
            <v>3547.124816</v>
          </cell>
          <cell r="S18">
            <v>1182.667324</v>
          </cell>
          <cell r="T18">
            <v>5777.376701</v>
          </cell>
          <cell r="U18">
            <v>0</v>
          </cell>
          <cell r="V18">
            <v>0</v>
          </cell>
          <cell r="W18" t="str">
            <v>广安</v>
          </cell>
          <cell r="X18">
            <v>9.21327</v>
          </cell>
          <cell r="Y18">
            <v>5434.338024</v>
          </cell>
          <cell r="Z18">
            <v>1173.454054</v>
          </cell>
          <cell r="AA18">
            <v>293.070735</v>
          </cell>
        </row>
        <row r="19">
          <cell r="B19" t="str">
            <v>达州</v>
          </cell>
          <cell r="C19">
            <v>10908.920438</v>
          </cell>
          <cell r="D19">
            <v>190.52547</v>
          </cell>
          <cell r="E19">
            <v>2246.7506</v>
          </cell>
          <cell r="F19">
            <v>2246.7506</v>
          </cell>
          <cell r="G19">
            <v>0</v>
          </cell>
          <cell r="H19">
            <v>35.306992</v>
          </cell>
          <cell r="I19">
            <v>-5375.958455</v>
          </cell>
          <cell r="J19">
            <v>415.303132</v>
          </cell>
          <cell r="K19">
            <v>5386.59004</v>
          </cell>
          <cell r="L19">
            <v>6694.933707</v>
          </cell>
          <cell r="M19">
            <v>1171.624967</v>
          </cell>
          <cell r="N19">
            <v>13190.97803</v>
          </cell>
          <cell r="O19">
            <v>5532.961983</v>
          </cell>
          <cell r="P19">
            <v>7633.34064</v>
          </cell>
          <cell r="Q19">
            <v>5557.63739</v>
          </cell>
          <cell r="R19">
            <v>7866.558674</v>
          </cell>
          <cell r="S19">
            <v>1771.257705</v>
          </cell>
          <cell r="T19">
            <v>5862.082935</v>
          </cell>
          <cell r="U19">
            <v>0</v>
          </cell>
          <cell r="V19">
            <v>0</v>
          </cell>
          <cell r="W19" t="str">
            <v>达州</v>
          </cell>
          <cell r="X19">
            <v>159.671053</v>
          </cell>
          <cell r="Y19">
            <v>3122.571017</v>
          </cell>
          <cell r="Z19">
            <v>1611.586652</v>
          </cell>
          <cell r="AA19">
            <v>492.761318</v>
          </cell>
        </row>
        <row r="20">
          <cell r="B20" t="str">
            <v>雅安</v>
          </cell>
          <cell r="C20">
            <v>3474.535192</v>
          </cell>
          <cell r="D20">
            <v>0</v>
          </cell>
          <cell r="E20">
            <v>0</v>
          </cell>
          <cell r="F20">
            <v>0</v>
          </cell>
          <cell r="G20">
            <v>0</v>
          </cell>
          <cell r="H20">
            <v>-715.342627</v>
          </cell>
          <cell r="I20">
            <v>-668.544214</v>
          </cell>
          <cell r="J20">
            <v>67.065897</v>
          </cell>
          <cell r="K20">
            <v>1906.928921</v>
          </cell>
          <cell r="L20">
            <v>3513.104067</v>
          </cell>
          <cell r="M20">
            <v>16.791608</v>
          </cell>
          <cell r="N20">
            <v>2759.192565</v>
          </cell>
          <cell r="O20">
            <v>2805.990978</v>
          </cell>
          <cell r="P20">
            <v>1906.928921</v>
          </cell>
          <cell r="Q20">
            <v>852.263643999999</v>
          </cell>
          <cell r="R20">
            <v>3529.895675</v>
          </cell>
          <cell r="S20">
            <v>1361.833894</v>
          </cell>
          <cell r="T20">
            <v>545.095027</v>
          </cell>
          <cell r="U20">
            <v>0</v>
          </cell>
          <cell r="V20">
            <v>0</v>
          </cell>
          <cell r="W20" t="str">
            <v>雅安</v>
          </cell>
          <cell r="X20">
            <v>969.605075</v>
          </cell>
          <cell r="Y20">
            <v>431.156317</v>
          </cell>
          <cell r="Z20">
            <v>392.228819</v>
          </cell>
          <cell r="AA20">
            <v>113.93871</v>
          </cell>
        </row>
        <row r="21">
          <cell r="B21" t="str">
            <v>巴中</v>
          </cell>
          <cell r="C21">
            <v>9456.727673</v>
          </cell>
          <cell r="D21">
            <v>0</v>
          </cell>
          <cell r="E21">
            <v>1925.100527</v>
          </cell>
          <cell r="F21">
            <v>1925.100527</v>
          </cell>
          <cell r="G21">
            <v>0</v>
          </cell>
          <cell r="H21">
            <v>-33.218076</v>
          </cell>
          <cell r="I21">
            <v>-3380.900939</v>
          </cell>
          <cell r="J21">
            <v>251.353756</v>
          </cell>
          <cell r="K21">
            <v>6723.459161</v>
          </cell>
          <cell r="L21">
            <v>6338.049656</v>
          </cell>
          <cell r="M21">
            <v>37.235328</v>
          </cell>
          <cell r="N21">
            <v>11348.610124</v>
          </cell>
          <cell r="O21">
            <v>6075.826734</v>
          </cell>
          <cell r="P21">
            <v>8648.559688</v>
          </cell>
          <cell r="Q21">
            <v>2700.050436</v>
          </cell>
          <cell r="R21">
            <v>6375.284984</v>
          </cell>
          <cell r="S21">
            <v>1072.883068</v>
          </cell>
          <cell r="T21">
            <v>7575.67662</v>
          </cell>
          <cell r="U21">
            <v>0</v>
          </cell>
          <cell r="V21">
            <v>0</v>
          </cell>
          <cell r="W21" t="str">
            <v>巴中</v>
          </cell>
          <cell r="X21">
            <v>40.080092</v>
          </cell>
          <cell r="Y21">
            <v>4758.334865</v>
          </cell>
          <cell r="Z21">
            <v>1032.802976</v>
          </cell>
          <cell r="AA21">
            <v>892.241228</v>
          </cell>
        </row>
        <row r="22">
          <cell r="B22" t="str">
            <v>资阳</v>
          </cell>
          <cell r="C22">
            <v>4810.633843</v>
          </cell>
          <cell r="D22">
            <v>0</v>
          </cell>
          <cell r="E22">
            <v>0</v>
          </cell>
          <cell r="F22">
            <v>0</v>
          </cell>
          <cell r="G22">
            <v>0</v>
          </cell>
          <cell r="H22">
            <v>-247.774325</v>
          </cell>
          <cell r="I22">
            <v>-1275.157579</v>
          </cell>
          <cell r="J22">
            <v>205.099086</v>
          </cell>
          <cell r="K22">
            <v>3268.923344</v>
          </cell>
          <cell r="L22">
            <v>4476.994517</v>
          </cell>
          <cell r="M22">
            <v>14.636015</v>
          </cell>
          <cell r="N22">
            <v>4562.859518</v>
          </cell>
          <cell r="O22">
            <v>3535.476264</v>
          </cell>
          <cell r="P22">
            <v>3268.923344</v>
          </cell>
          <cell r="Q22">
            <v>1293.936174</v>
          </cell>
          <cell r="R22">
            <v>4491.630532</v>
          </cell>
          <cell r="S22">
            <v>377.423371</v>
          </cell>
          <cell r="T22">
            <v>2891.499973</v>
          </cell>
          <cell r="U22">
            <v>0</v>
          </cell>
          <cell r="V22">
            <v>0</v>
          </cell>
          <cell r="W22" t="str">
            <v>资阳</v>
          </cell>
          <cell r="X22">
            <v>7.135247</v>
          </cell>
          <cell r="Y22">
            <v>2617.502871</v>
          </cell>
          <cell r="Z22">
            <v>370.288124</v>
          </cell>
          <cell r="AA22">
            <v>273.997102</v>
          </cell>
        </row>
        <row r="23">
          <cell r="B23" t="str">
            <v>阿坝</v>
          </cell>
          <cell r="C23">
            <v>5083.699839</v>
          </cell>
          <cell r="D23">
            <v>0</v>
          </cell>
          <cell r="E23">
            <v>382.92</v>
          </cell>
          <cell r="F23">
            <v>382.92</v>
          </cell>
          <cell r="G23">
            <v>0</v>
          </cell>
          <cell r="H23">
            <v>62.217702</v>
          </cell>
          <cell r="I23">
            <v>-1769.50061</v>
          </cell>
          <cell r="J23">
            <v>262.785827</v>
          </cell>
          <cell r="K23">
            <v>3034.450602</v>
          </cell>
          <cell r="L23">
            <v>5631.187498</v>
          </cell>
          <cell r="M23">
            <v>499.168986</v>
          </cell>
          <cell r="N23">
            <v>5528.837541</v>
          </cell>
          <cell r="O23">
            <v>3314.199229</v>
          </cell>
          <cell r="P23">
            <v>3417.370602</v>
          </cell>
          <cell r="Q23">
            <v>2111.466939</v>
          </cell>
          <cell r="R23">
            <v>6130.356484</v>
          </cell>
          <cell r="S23">
            <v>1199.171702</v>
          </cell>
          <cell r="T23">
            <v>2218.1989</v>
          </cell>
          <cell r="U23">
            <v>0</v>
          </cell>
          <cell r="V23">
            <v>0</v>
          </cell>
          <cell r="W23" t="str">
            <v>阿坝</v>
          </cell>
          <cell r="X23">
            <v>35.833637</v>
          </cell>
          <cell r="Y23">
            <v>1717.087366</v>
          </cell>
          <cell r="Z23">
            <v>1163.338065</v>
          </cell>
          <cell r="AA23">
            <v>118.191534</v>
          </cell>
        </row>
        <row r="24">
          <cell r="B24" t="str">
            <v>甘孜</v>
          </cell>
          <cell r="C24">
            <v>7577.378283</v>
          </cell>
          <cell r="D24">
            <v>0</v>
          </cell>
          <cell r="E24">
            <v>1048.769125</v>
          </cell>
          <cell r="F24">
            <v>1048.769125</v>
          </cell>
          <cell r="G24">
            <v>0</v>
          </cell>
          <cell r="H24">
            <v>116.048393</v>
          </cell>
          <cell r="I24">
            <v>-3429.317391</v>
          </cell>
          <cell r="J24">
            <v>387.159699</v>
          </cell>
          <cell r="K24">
            <v>4757.617458</v>
          </cell>
          <cell r="L24">
            <v>5946.247134</v>
          </cell>
          <cell r="M24">
            <v>541.847347</v>
          </cell>
          <cell r="N24">
            <v>8742.195801</v>
          </cell>
          <cell r="O24">
            <v>4148.060892</v>
          </cell>
          <cell r="P24">
            <v>5806.386583</v>
          </cell>
          <cell r="Q24">
            <v>2935.809218</v>
          </cell>
          <cell r="R24">
            <v>6488.094481</v>
          </cell>
          <cell r="S24">
            <v>2976.808251</v>
          </cell>
          <cell r="T24">
            <v>2829.578332</v>
          </cell>
          <cell r="U24">
            <v>0</v>
          </cell>
          <cell r="V24">
            <v>0</v>
          </cell>
          <cell r="W24" t="str">
            <v>甘孜</v>
          </cell>
          <cell r="X24">
            <v>1.34745</v>
          </cell>
          <cell r="Y24">
            <v>1444.292543</v>
          </cell>
          <cell r="Z24">
            <v>2975.460801</v>
          </cell>
          <cell r="AA24">
            <v>336.516664</v>
          </cell>
        </row>
        <row r="25">
          <cell r="B25" t="str">
            <v>凉山</v>
          </cell>
          <cell r="C25">
            <v>12229.886118</v>
          </cell>
          <cell r="D25">
            <v>0</v>
          </cell>
          <cell r="E25">
            <v>342.3</v>
          </cell>
          <cell r="F25">
            <v>342.3</v>
          </cell>
          <cell r="G25">
            <v>0</v>
          </cell>
          <cell r="H25">
            <v>2174.888653</v>
          </cell>
          <cell r="I25">
            <v>-4034.48687</v>
          </cell>
          <cell r="J25">
            <v>390.988003</v>
          </cell>
          <cell r="K25">
            <v>9013.388881</v>
          </cell>
          <cell r="L25">
            <v>11019.099699</v>
          </cell>
          <cell r="M25">
            <v>84.477511</v>
          </cell>
          <cell r="N25">
            <v>14747.074771</v>
          </cell>
          <cell r="O25">
            <v>8195.399248</v>
          </cell>
          <cell r="P25">
            <v>9355.688881</v>
          </cell>
          <cell r="Q25">
            <v>5391.38589</v>
          </cell>
          <cell r="R25">
            <v>11103.57721</v>
          </cell>
          <cell r="S25">
            <v>2175.039674</v>
          </cell>
          <cell r="T25">
            <v>7180.649207</v>
          </cell>
          <cell r="U25">
            <v>0</v>
          </cell>
          <cell r="V25">
            <v>0</v>
          </cell>
          <cell r="W25" t="str">
            <v>凉山</v>
          </cell>
          <cell r="X25">
            <v>14.591166</v>
          </cell>
          <cell r="Y25">
            <v>6375.75493</v>
          </cell>
          <cell r="Z25">
            <v>2160.448508</v>
          </cell>
          <cell r="AA25">
            <v>462.594277</v>
          </cell>
        </row>
      </sheetData>
    </sheetDataSet>
  </externalBook>
</externalLink>
</file>

<file path=xl/externalLinks/externalLink4.xml><?xml version="1.0" encoding="utf-8"?>
<externalLink xmlns="http://schemas.openxmlformats.org/spreadsheetml/2006/main">
  <externalBook xmlns:r="http://schemas.openxmlformats.org/officeDocument/2006/relationships" r:id="rId1">
    <sheetNames>
      <sheetName val="查询结果(2026年1月)"/>
    </sheetNames>
    <sheetDataSet>
      <sheetData sheetId="0" refreshError="1">
        <row r="2">
          <cell r="A2" t="str">
            <v>单位</v>
          </cell>
          <cell r="B2" t="str">
            <v>合计【15期末余额  账龄＜1个月】</v>
          </cell>
          <cell r="C2" t="str">
            <v>合计【16期末余额  1个月≤账龄≤3个月】</v>
          </cell>
          <cell r="D2" t="str">
            <v>合计【17期末余额  3个月＜账龄≤6个月】</v>
          </cell>
          <cell r="E2" t="str">
            <v>合计【18期末余额  6个月＜账龄≤1年】</v>
          </cell>
          <cell r="F2" t="str">
            <v>合计【19期末余额  1年＜账龄≤2年】</v>
          </cell>
          <cell r="G2" t="str">
            <v>合计【20期末余额  2年＜账龄≤3年】</v>
          </cell>
          <cell r="H2" t="str">
            <v>合计【28期末余额 3年＜账龄≤4年】</v>
          </cell>
          <cell r="I2" t="str">
            <v>合计【29期末余额 4年＜账龄≤5年】</v>
          </cell>
          <cell r="J2" t="str">
            <v>合计【30期末余额 5年＜账龄】</v>
          </cell>
          <cell r="K2" t="str">
            <v>合计【21期末余额  合计】</v>
          </cell>
          <cell r="L2" t="str">
            <v>一年以上</v>
          </cell>
          <cell r="M2" t="str">
            <v>一年以上</v>
          </cell>
        </row>
        <row r="3">
          <cell r="A3" t="str">
            <v>本部</v>
          </cell>
          <cell r="B3">
            <v>181456914.57</v>
          </cell>
          <cell r="C3">
            <v>160466369.94</v>
          </cell>
          <cell r="D3">
            <v>46717715.21</v>
          </cell>
          <cell r="E3">
            <v>99145231.92</v>
          </cell>
          <cell r="F3">
            <v>5014568.77</v>
          </cell>
          <cell r="G3">
            <v>1103710.22</v>
          </cell>
          <cell r="H3">
            <v>2096720.57</v>
          </cell>
          <cell r="I3">
            <v>1706079.66</v>
          </cell>
          <cell r="J3">
            <v>4497217.8</v>
          </cell>
          <cell r="K3">
            <v>502204528.66</v>
          </cell>
          <cell r="L3">
            <v>14418297.02</v>
          </cell>
          <cell r="M3">
            <v>1441.829702</v>
          </cell>
        </row>
        <row r="4">
          <cell r="A4" t="str">
            <v>成都</v>
          </cell>
          <cell r="B4">
            <v>189805913.81</v>
          </cell>
          <cell r="C4">
            <v>179435860.76</v>
          </cell>
          <cell r="D4">
            <v>99082977.31</v>
          </cell>
          <cell r="E4">
            <v>113107110</v>
          </cell>
          <cell r="F4">
            <v>47617074.8</v>
          </cell>
          <cell r="G4">
            <v>25733961.26</v>
          </cell>
          <cell r="H4">
            <v>15134872.21</v>
          </cell>
          <cell r="I4">
            <v>11403952.64</v>
          </cell>
          <cell r="J4">
            <v>63636504.08</v>
          </cell>
          <cell r="K4">
            <v>744958226.87</v>
          </cell>
          <cell r="L4">
            <v>163526364.99</v>
          </cell>
          <cell r="M4">
            <v>16352.636499</v>
          </cell>
        </row>
        <row r="5">
          <cell r="A5" t="str">
            <v>天府新区</v>
          </cell>
        </row>
        <row r="5">
          <cell r="L5">
            <v>0</v>
          </cell>
          <cell r="M5">
            <v>0</v>
          </cell>
        </row>
        <row r="6">
          <cell r="A6" t="str">
            <v>自贡</v>
          </cell>
          <cell r="B6">
            <v>-11562790.68</v>
          </cell>
          <cell r="C6">
            <v>19928911.56</v>
          </cell>
          <cell r="D6">
            <v>3915739.08</v>
          </cell>
          <cell r="E6">
            <v>33341326.44</v>
          </cell>
          <cell r="F6">
            <v>12906150.91</v>
          </cell>
          <cell r="G6">
            <v>3096305.97</v>
          </cell>
          <cell r="H6">
            <v>718198.9</v>
          </cell>
          <cell r="I6">
            <v>273954.78</v>
          </cell>
          <cell r="J6">
            <v>752999.02</v>
          </cell>
          <cell r="K6">
            <v>63370795.98</v>
          </cell>
          <cell r="L6">
            <v>17747609.58</v>
          </cell>
          <cell r="M6">
            <v>1774.760958</v>
          </cell>
        </row>
        <row r="7">
          <cell r="A7" t="str">
            <v>攀枝花</v>
          </cell>
          <cell r="B7">
            <v>1425407.12</v>
          </cell>
          <cell r="C7">
            <v>10587451.46</v>
          </cell>
          <cell r="D7">
            <v>3108396.93</v>
          </cell>
          <cell r="E7">
            <v>6008915.79</v>
          </cell>
          <cell r="F7">
            <v>3560079.55</v>
          </cell>
          <cell r="G7">
            <v>10034979.82</v>
          </cell>
          <cell r="H7">
            <v>1888425.86</v>
          </cell>
          <cell r="I7">
            <v>488850.48</v>
          </cell>
          <cell r="J7">
            <v>1197929.62</v>
          </cell>
          <cell r="K7">
            <v>38300436.63</v>
          </cell>
          <cell r="L7">
            <v>17170265.33</v>
          </cell>
          <cell r="M7">
            <v>1717.026533</v>
          </cell>
        </row>
        <row r="8">
          <cell r="A8" t="str">
            <v>泸州</v>
          </cell>
          <cell r="B8">
            <v>22033862.68</v>
          </cell>
          <cell r="C8">
            <v>31607851.86</v>
          </cell>
          <cell r="D8">
            <v>9094372.95</v>
          </cell>
          <cell r="E8">
            <v>27500977.87</v>
          </cell>
          <cell r="F8">
            <v>20367662.05</v>
          </cell>
          <cell r="G8">
            <v>6657542.72</v>
          </cell>
          <cell r="H8">
            <v>2939910.17</v>
          </cell>
          <cell r="I8">
            <v>1557602.17</v>
          </cell>
          <cell r="J8">
            <v>1378715.02</v>
          </cell>
          <cell r="K8">
            <v>123138497.49</v>
          </cell>
          <cell r="L8">
            <v>32901432.13</v>
          </cell>
          <cell r="M8">
            <v>3290.143213</v>
          </cell>
        </row>
        <row r="9">
          <cell r="A9" t="str">
            <v>德阳</v>
          </cell>
          <cell r="B9">
            <v>17101129.08</v>
          </cell>
          <cell r="C9">
            <v>36583597.95</v>
          </cell>
          <cell r="D9">
            <v>11522051.52</v>
          </cell>
          <cell r="E9">
            <v>36328126.14</v>
          </cell>
          <cell r="F9">
            <v>17431633.09</v>
          </cell>
          <cell r="G9">
            <v>1313542.03</v>
          </cell>
          <cell r="H9">
            <v>840098.92</v>
          </cell>
          <cell r="I9">
            <v>561318.93</v>
          </cell>
          <cell r="J9">
            <v>1297283.1</v>
          </cell>
          <cell r="K9">
            <v>122978780.76</v>
          </cell>
          <cell r="L9">
            <v>21443876.07</v>
          </cell>
          <cell r="M9">
            <v>2144.387607</v>
          </cell>
        </row>
        <row r="10">
          <cell r="A10" t="str">
            <v>绵阳</v>
          </cell>
          <cell r="B10">
            <v>41028767.32</v>
          </cell>
          <cell r="C10">
            <v>34855777.55</v>
          </cell>
          <cell r="D10">
            <v>13797994.97</v>
          </cell>
          <cell r="E10">
            <v>26858846.08</v>
          </cell>
          <cell r="F10">
            <v>11668366.01</v>
          </cell>
          <cell r="G10">
            <v>1925018.48</v>
          </cell>
          <cell r="H10">
            <v>1559227.45</v>
          </cell>
          <cell r="I10">
            <v>980525.69</v>
          </cell>
          <cell r="J10">
            <v>1486286.08</v>
          </cell>
          <cell r="K10">
            <v>134160809.63</v>
          </cell>
          <cell r="L10">
            <v>17619423.71</v>
          </cell>
          <cell r="M10">
            <v>1761.942371</v>
          </cell>
        </row>
        <row r="11">
          <cell r="A11" t="str">
            <v>广元</v>
          </cell>
          <cell r="B11">
            <v>22674001.38</v>
          </cell>
          <cell r="C11">
            <v>19207933.48</v>
          </cell>
          <cell r="D11">
            <v>6442165.03</v>
          </cell>
          <cell r="E11">
            <v>16627466.22</v>
          </cell>
          <cell r="F11">
            <v>10431860.28</v>
          </cell>
          <cell r="G11">
            <v>1405542.16</v>
          </cell>
          <cell r="H11">
            <v>1152417.27</v>
          </cell>
          <cell r="I11">
            <v>528668.26</v>
          </cell>
          <cell r="J11">
            <v>768466.35</v>
          </cell>
          <cell r="K11">
            <v>79238520.43</v>
          </cell>
          <cell r="L11">
            <v>14286954.32</v>
          </cell>
          <cell r="M11">
            <v>1428.695432</v>
          </cell>
        </row>
        <row r="12">
          <cell r="A12" t="str">
            <v>遂宁</v>
          </cell>
          <cell r="B12">
            <v>5600121.73</v>
          </cell>
          <cell r="C12">
            <v>18625536.91</v>
          </cell>
          <cell r="D12">
            <v>3609946.5</v>
          </cell>
          <cell r="E12">
            <v>17843340.24</v>
          </cell>
          <cell r="F12">
            <v>11995015.82</v>
          </cell>
          <cell r="G12">
            <v>1965945.76</v>
          </cell>
          <cell r="H12">
            <v>592709.73</v>
          </cell>
          <cell r="I12">
            <v>166202.67</v>
          </cell>
          <cell r="J12">
            <v>1289910.03</v>
          </cell>
          <cell r="K12">
            <v>61688729.39</v>
          </cell>
          <cell r="L12">
            <v>16009784.01</v>
          </cell>
          <cell r="M12">
            <v>1600.978401</v>
          </cell>
        </row>
        <row r="13">
          <cell r="A13" t="str">
            <v>内江</v>
          </cell>
          <cell r="B13">
            <v>25282539.75</v>
          </cell>
          <cell r="C13">
            <v>13281212.62</v>
          </cell>
          <cell r="D13">
            <v>2350631.92</v>
          </cell>
          <cell r="E13">
            <v>13088115.29</v>
          </cell>
          <cell r="F13">
            <v>4623332.05</v>
          </cell>
          <cell r="G13">
            <v>4948232.09</v>
          </cell>
          <cell r="H13">
            <v>440197.87</v>
          </cell>
          <cell r="I13">
            <v>387395.07</v>
          </cell>
          <cell r="J13">
            <v>817869.58</v>
          </cell>
          <cell r="K13">
            <v>65219526.24</v>
          </cell>
          <cell r="L13">
            <v>11217026.66</v>
          </cell>
          <cell r="M13">
            <v>1121.702666</v>
          </cell>
        </row>
        <row r="14">
          <cell r="A14" t="str">
            <v>乐山</v>
          </cell>
          <cell r="B14">
            <v>39523607.35</v>
          </cell>
          <cell r="C14">
            <v>27269764.03</v>
          </cell>
          <cell r="D14">
            <v>13176173.45</v>
          </cell>
          <cell r="E14">
            <v>28787085.07</v>
          </cell>
          <cell r="F14">
            <v>18929096.38</v>
          </cell>
          <cell r="G14">
            <v>12153402.77</v>
          </cell>
          <cell r="H14">
            <v>2843206.89</v>
          </cell>
          <cell r="I14">
            <v>1238418.3</v>
          </cell>
          <cell r="J14">
            <v>2477232.63</v>
          </cell>
          <cell r="K14">
            <v>146397986.87</v>
          </cell>
          <cell r="L14">
            <v>37641356.97</v>
          </cell>
          <cell r="M14">
            <v>3764.135697</v>
          </cell>
        </row>
        <row r="15">
          <cell r="A15" t="str">
            <v>南充</v>
          </cell>
          <cell r="B15">
            <v>63909067.54</v>
          </cell>
          <cell r="C15">
            <v>36047147.84</v>
          </cell>
          <cell r="D15">
            <v>5257148.77</v>
          </cell>
          <cell r="E15">
            <v>48157019.68</v>
          </cell>
          <cell r="F15">
            <v>17786154.31</v>
          </cell>
          <cell r="G15">
            <v>13841959.16</v>
          </cell>
          <cell r="H15">
            <v>3126534.22</v>
          </cell>
          <cell r="I15">
            <v>958045.49</v>
          </cell>
          <cell r="J15">
            <v>890887.95</v>
          </cell>
          <cell r="K15">
            <v>189973964.96</v>
          </cell>
          <cell r="L15">
            <v>36603581.13</v>
          </cell>
          <cell r="M15">
            <v>3660.358113</v>
          </cell>
        </row>
        <row r="16">
          <cell r="A16" t="str">
            <v>眉山</v>
          </cell>
          <cell r="B16">
            <v>19564053.17</v>
          </cell>
          <cell r="C16">
            <v>53201896.05</v>
          </cell>
          <cell r="D16">
            <v>7135124.04</v>
          </cell>
          <cell r="E16">
            <v>30273528.23</v>
          </cell>
          <cell r="F16">
            <v>6488456.14</v>
          </cell>
          <cell r="G16">
            <v>1320810.46</v>
          </cell>
          <cell r="H16">
            <v>539993.6</v>
          </cell>
          <cell r="I16">
            <v>191009.22</v>
          </cell>
          <cell r="J16">
            <v>121099.73</v>
          </cell>
          <cell r="K16">
            <v>118835970.64</v>
          </cell>
          <cell r="L16">
            <v>8661369.15</v>
          </cell>
          <cell r="M16">
            <v>866.136915</v>
          </cell>
        </row>
        <row r="17">
          <cell r="A17" t="str">
            <v>宜宾</v>
          </cell>
          <cell r="B17">
            <v>22372321.73</v>
          </cell>
          <cell r="C17">
            <v>32078478.95</v>
          </cell>
          <cell r="D17">
            <v>12248259.85</v>
          </cell>
          <cell r="E17">
            <v>53421010.62</v>
          </cell>
          <cell r="F17">
            <v>15329218.57</v>
          </cell>
          <cell r="G17">
            <v>2251226.31</v>
          </cell>
          <cell r="H17">
            <v>1352230.73</v>
          </cell>
          <cell r="I17">
            <v>471219.01</v>
          </cell>
          <cell r="J17">
            <v>208911.91</v>
          </cell>
          <cell r="K17">
            <v>139732877.68</v>
          </cell>
          <cell r="L17">
            <v>19612806.53</v>
          </cell>
          <cell r="M17">
            <v>1961.280653</v>
          </cell>
        </row>
        <row r="18">
          <cell r="A18" t="str">
            <v>广安</v>
          </cell>
          <cell r="B18">
            <v>14855487.1</v>
          </cell>
          <cell r="C18">
            <v>33462226.71</v>
          </cell>
          <cell r="D18">
            <v>15143474.19</v>
          </cell>
          <cell r="E18">
            <v>17787462.74</v>
          </cell>
          <cell r="F18">
            <v>8618014.09</v>
          </cell>
          <cell r="G18">
            <v>1395333.72</v>
          </cell>
          <cell r="H18">
            <v>603642.13</v>
          </cell>
          <cell r="I18">
            <v>658339.2</v>
          </cell>
          <cell r="J18">
            <v>819569.27</v>
          </cell>
          <cell r="K18">
            <v>93343549.15</v>
          </cell>
          <cell r="L18">
            <v>12094898.41</v>
          </cell>
          <cell r="M18">
            <v>1209.489841</v>
          </cell>
        </row>
        <row r="19">
          <cell r="A19" t="str">
            <v>达州</v>
          </cell>
          <cell r="B19">
            <v>34022000.94</v>
          </cell>
          <cell r="C19">
            <v>8404485.43</v>
          </cell>
          <cell r="D19">
            <v>3247323.79</v>
          </cell>
          <cell r="E19">
            <v>15038388.59</v>
          </cell>
          <cell r="F19">
            <v>35102603.34</v>
          </cell>
          <cell r="G19">
            <v>6040839.49</v>
          </cell>
          <cell r="H19">
            <v>3671154.35</v>
          </cell>
          <cell r="I19">
            <v>1438589.79</v>
          </cell>
          <cell r="J19">
            <v>4778000.97</v>
          </cell>
          <cell r="K19">
            <v>111743386.69</v>
          </cell>
          <cell r="L19">
            <v>51031187.94</v>
          </cell>
          <cell r="M19">
            <v>5103.118794</v>
          </cell>
        </row>
        <row r="20">
          <cell r="A20" t="str">
            <v>雅安</v>
          </cell>
          <cell r="B20">
            <v>10329217.78</v>
          </cell>
          <cell r="C20">
            <v>7795663.25</v>
          </cell>
          <cell r="D20">
            <v>2733885.17</v>
          </cell>
          <cell r="E20">
            <v>3832647.51</v>
          </cell>
          <cell r="F20">
            <v>1745860.87</v>
          </cell>
          <cell r="G20">
            <v>399054.4</v>
          </cell>
          <cell r="H20">
            <v>210313.5</v>
          </cell>
          <cell r="I20">
            <v>159807.38</v>
          </cell>
          <cell r="J20">
            <v>385475.79</v>
          </cell>
          <cell r="K20">
            <v>27591925.65</v>
          </cell>
          <cell r="L20">
            <v>2900511.94</v>
          </cell>
          <cell r="M20">
            <v>290.051194</v>
          </cell>
        </row>
        <row r="21">
          <cell r="A21" t="str">
            <v>巴中</v>
          </cell>
          <cell r="B21">
            <v>-5571144.9</v>
          </cell>
          <cell r="C21">
            <v>21358518.52</v>
          </cell>
          <cell r="D21">
            <v>13422580.07</v>
          </cell>
          <cell r="E21">
            <v>31156850.76</v>
          </cell>
          <cell r="F21">
            <v>24746609.85</v>
          </cell>
          <cell r="G21">
            <v>5847341.43</v>
          </cell>
          <cell r="H21">
            <v>1170170.84</v>
          </cell>
          <cell r="I21">
            <v>889967.66</v>
          </cell>
          <cell r="J21">
            <v>1214201.74</v>
          </cell>
          <cell r="K21">
            <v>94235095.97</v>
          </cell>
          <cell r="L21">
            <v>33868291.52</v>
          </cell>
          <cell r="M21">
            <v>3386.829152</v>
          </cell>
        </row>
        <row r="22">
          <cell r="A22" t="str">
            <v>资阳</v>
          </cell>
          <cell r="B22">
            <v>7713137.37</v>
          </cell>
          <cell r="C22">
            <v>9074843.16</v>
          </cell>
          <cell r="D22">
            <v>9772030.09</v>
          </cell>
          <cell r="E22">
            <v>11047658.39</v>
          </cell>
          <cell r="F22">
            <v>4983019.35</v>
          </cell>
          <cell r="G22">
            <v>1128156.15</v>
          </cell>
          <cell r="H22">
            <v>382769.05</v>
          </cell>
          <cell r="I22">
            <v>211642.19</v>
          </cell>
          <cell r="J22">
            <v>1315339.43</v>
          </cell>
          <cell r="K22">
            <v>45628595.18</v>
          </cell>
          <cell r="L22">
            <v>8020926.17</v>
          </cell>
          <cell r="M22">
            <v>802.092617</v>
          </cell>
        </row>
        <row r="23">
          <cell r="A23" t="str">
            <v>阿坝</v>
          </cell>
          <cell r="B23">
            <v>11726490</v>
          </cell>
          <cell r="C23">
            <v>13106393.48</v>
          </cell>
          <cell r="D23">
            <v>8538272.3</v>
          </cell>
          <cell r="E23">
            <v>6567223.62</v>
          </cell>
          <cell r="F23">
            <v>6687609.09</v>
          </cell>
          <cell r="G23">
            <v>1287692.34</v>
          </cell>
          <cell r="H23">
            <v>938868.99</v>
          </cell>
          <cell r="I23">
            <v>1057609.02</v>
          </cell>
          <cell r="J23">
            <v>1549016.57</v>
          </cell>
          <cell r="K23">
            <v>51459175.41</v>
          </cell>
          <cell r="L23">
            <v>11520796.01</v>
          </cell>
          <cell r="M23">
            <v>1152.079601</v>
          </cell>
        </row>
        <row r="24">
          <cell r="A24" t="str">
            <v>甘孜</v>
          </cell>
          <cell r="B24">
            <v>12078206.16</v>
          </cell>
          <cell r="C24">
            <v>24515243.55</v>
          </cell>
          <cell r="D24">
            <v>11757673.81</v>
          </cell>
          <cell r="E24">
            <v>16985547.72</v>
          </cell>
          <cell r="F24">
            <v>6353068.63</v>
          </cell>
          <cell r="G24">
            <v>1539378.22</v>
          </cell>
          <cell r="H24">
            <v>2249354.5</v>
          </cell>
          <cell r="I24">
            <v>463812.82</v>
          </cell>
          <cell r="J24">
            <v>991981.35</v>
          </cell>
          <cell r="K24">
            <v>76934266.76</v>
          </cell>
          <cell r="L24">
            <v>11597595.52</v>
          </cell>
          <cell r="M24">
            <v>1159.759552</v>
          </cell>
        </row>
        <row r="25">
          <cell r="A25" t="str">
            <v>凉山</v>
          </cell>
          <cell r="B25">
            <v>43710502.42</v>
          </cell>
          <cell r="C25">
            <v>39464267.76</v>
          </cell>
          <cell r="D25">
            <v>9162915.6</v>
          </cell>
          <cell r="E25">
            <v>28175438.18</v>
          </cell>
          <cell r="F25">
            <v>19503667.63</v>
          </cell>
          <cell r="G25">
            <v>1377374.62</v>
          </cell>
          <cell r="H25">
            <v>947511.79</v>
          </cell>
          <cell r="I25">
            <v>684569.49</v>
          </cell>
          <cell r="J25">
            <v>1021500.22</v>
          </cell>
          <cell r="K25">
            <v>144047747.71</v>
          </cell>
          <cell r="L25">
            <v>23534623.75</v>
          </cell>
          <cell r="M25">
            <v>2353.462375</v>
          </cell>
        </row>
        <row r="26">
          <cell r="A26" t="str">
            <v>长途传输局</v>
          </cell>
          <cell r="B26">
            <v>0</v>
          </cell>
          <cell r="C26">
            <v>0</v>
          </cell>
          <cell r="D26">
            <v>0</v>
          </cell>
          <cell r="E26">
            <v>0</v>
          </cell>
          <cell r="F26">
            <v>0</v>
          </cell>
          <cell r="G26">
            <v>0</v>
          </cell>
          <cell r="H26">
            <v>0</v>
          </cell>
          <cell r="I26">
            <v>0</v>
          </cell>
          <cell r="J26">
            <v>0</v>
          </cell>
          <cell r="K26">
            <v>0</v>
          </cell>
          <cell r="L26">
            <v>0</v>
          </cell>
          <cell r="M26">
            <v>0</v>
          </cell>
        </row>
        <row r="27">
          <cell r="A27" t="str">
            <v>机动通信局</v>
          </cell>
          <cell r="B27">
            <v>0</v>
          </cell>
          <cell r="C27">
            <v>0</v>
          </cell>
          <cell r="D27">
            <v>0</v>
          </cell>
          <cell r="E27">
            <v>0</v>
          </cell>
          <cell r="F27">
            <v>0</v>
          </cell>
          <cell r="G27">
            <v>0</v>
          </cell>
          <cell r="H27">
            <v>0</v>
          </cell>
          <cell r="I27">
            <v>0</v>
          </cell>
          <cell r="J27">
            <v>-2570.83</v>
          </cell>
          <cell r="K27">
            <v>-2570.83</v>
          </cell>
          <cell r="L27">
            <v>-2570.83</v>
          </cell>
          <cell r="M27">
            <v>-0.257083</v>
          </cell>
        </row>
        <row r="28">
          <cell r="A28" t="str">
            <v>号百中心</v>
          </cell>
          <cell r="B28">
            <v>48124.53</v>
          </cell>
          <cell r="C28">
            <v>574.5</v>
          </cell>
          <cell r="D28">
            <v>0</v>
          </cell>
          <cell r="E28">
            <v>0</v>
          </cell>
          <cell r="F28">
            <v>0</v>
          </cell>
          <cell r="G28">
            <v>0</v>
          </cell>
          <cell r="H28">
            <v>0</v>
          </cell>
          <cell r="I28">
            <v>0</v>
          </cell>
          <cell r="J28">
            <v>99886.87</v>
          </cell>
          <cell r="K28">
            <v>148585.9</v>
          </cell>
          <cell r="L28">
            <v>99886.87</v>
          </cell>
          <cell r="M28">
            <v>9.988687</v>
          </cell>
        </row>
        <row r="29">
          <cell r="A29" t="str">
            <v>天翼空间运营中心</v>
          </cell>
          <cell r="B29">
            <v>0</v>
          </cell>
          <cell r="C29">
            <v>0</v>
          </cell>
          <cell r="D29">
            <v>0</v>
          </cell>
          <cell r="E29">
            <v>0</v>
          </cell>
          <cell r="F29">
            <v>0</v>
          </cell>
          <cell r="G29">
            <v>0</v>
          </cell>
          <cell r="H29">
            <v>0</v>
          </cell>
          <cell r="I29">
            <v>0</v>
          </cell>
          <cell r="J29">
            <v>0</v>
          </cell>
          <cell r="K29">
            <v>0</v>
          </cell>
          <cell r="L29">
            <v>0</v>
          </cell>
          <cell r="M29">
            <v>0</v>
          </cell>
        </row>
      </sheetData>
    </sheetDataSet>
  </externalBook>
</externalLink>
</file>

<file path=xl/externalLinks/externalLink5.xml><?xml version="1.0" encoding="utf-8"?>
<externalLink xmlns="http://schemas.openxmlformats.org/spreadsheetml/2006/main">
  <externalBook xmlns:r="http://schemas.openxmlformats.org/officeDocument/2006/relationships" r:id="rId1">
    <sheetNames>
      <sheetName val="查询结果(2025年1月)"/>
    </sheetNames>
    <sheetDataSet>
      <sheetData sheetId="0" refreshError="1">
        <row r="2">
          <cell r="A2" t="str">
            <v>单位</v>
          </cell>
          <cell r="B2" t="str">
            <v>合计【15期末余额  账龄＜1个月】</v>
          </cell>
          <cell r="C2" t="str">
            <v>合计【16期末余额  1个月≤账龄≤3个月】</v>
          </cell>
          <cell r="D2" t="str">
            <v>合计【17期末余额  3个月＜账龄≤6个月】</v>
          </cell>
          <cell r="E2" t="str">
            <v>合计【18期末余额  6个月＜账龄≤1年】</v>
          </cell>
          <cell r="F2" t="str">
            <v>合计【19期末余额  1年＜账龄≤2年】</v>
          </cell>
          <cell r="G2" t="str">
            <v>合计【20期末余额  2年＜账龄≤3年】</v>
          </cell>
          <cell r="H2" t="str">
            <v>合计【28期末余额 3年＜账龄≤4年】</v>
          </cell>
          <cell r="I2" t="str">
            <v>合计【29期末余额 4年＜账龄≤5年】</v>
          </cell>
          <cell r="J2" t="str">
            <v>合计【30期末余额 5年＜账龄】</v>
          </cell>
          <cell r="K2" t="str">
            <v>合计【21期末余额  合计】</v>
          </cell>
          <cell r="L2" t="str">
            <v>一年以上</v>
          </cell>
          <cell r="M2" t="str">
            <v>一年以上</v>
          </cell>
        </row>
        <row r="3">
          <cell r="A3" t="str">
            <v>本部</v>
          </cell>
          <cell r="B3">
            <v>220980982.03</v>
          </cell>
          <cell r="C3">
            <v>135940733.75</v>
          </cell>
          <cell r="D3">
            <v>73714714.72</v>
          </cell>
          <cell r="E3">
            <v>11724621.63</v>
          </cell>
          <cell r="F3">
            <v>1836765.11</v>
          </cell>
          <cell r="G3">
            <v>3445815.69</v>
          </cell>
          <cell r="H3">
            <v>2134972.86</v>
          </cell>
          <cell r="I3">
            <v>1170614.39</v>
          </cell>
          <cell r="J3">
            <v>2426393.19</v>
          </cell>
          <cell r="K3">
            <v>453375613.37</v>
          </cell>
          <cell r="L3">
            <v>11014561.24</v>
          </cell>
          <cell r="M3">
            <v>1101.456124</v>
          </cell>
        </row>
        <row r="4">
          <cell r="A4" t="str">
            <v>成都</v>
          </cell>
          <cell r="B4">
            <v>231215176.17</v>
          </cell>
          <cell r="C4">
            <v>135172387.05</v>
          </cell>
          <cell r="D4">
            <v>55672900.86</v>
          </cell>
          <cell r="E4">
            <v>24967849.95</v>
          </cell>
          <cell r="F4">
            <v>48294973.38</v>
          </cell>
          <cell r="G4">
            <v>20273518.98</v>
          </cell>
          <cell r="H4">
            <v>15895891.91</v>
          </cell>
          <cell r="I4">
            <v>11561161.22</v>
          </cell>
          <cell r="J4">
            <v>60761353.3</v>
          </cell>
          <cell r="K4">
            <v>603815212.82</v>
          </cell>
          <cell r="L4">
            <v>156786898.79</v>
          </cell>
          <cell r="M4">
            <v>15678.689879</v>
          </cell>
        </row>
        <row r="5">
          <cell r="A5" t="str">
            <v>天府新区</v>
          </cell>
          <cell r="B5">
            <v>0</v>
          </cell>
          <cell r="C5">
            <v>0</v>
          </cell>
          <cell r="D5">
            <v>0</v>
          </cell>
          <cell r="E5">
            <v>0</v>
          </cell>
          <cell r="F5">
            <v>0</v>
          </cell>
          <cell r="G5">
            <v>0</v>
          </cell>
          <cell r="H5">
            <v>0</v>
          </cell>
          <cell r="I5">
            <v>0</v>
          </cell>
          <cell r="J5">
            <v>0</v>
          </cell>
          <cell r="K5">
            <v>0</v>
          </cell>
          <cell r="L5">
            <v>0</v>
          </cell>
          <cell r="M5">
            <v>0</v>
          </cell>
        </row>
        <row r="6">
          <cell r="A6" t="str">
            <v>自贡</v>
          </cell>
          <cell r="B6">
            <v>-2482975.35</v>
          </cell>
          <cell r="C6">
            <v>17632915.89</v>
          </cell>
          <cell r="D6">
            <v>8946994.68</v>
          </cell>
          <cell r="E6">
            <v>18163368.11</v>
          </cell>
          <cell r="F6">
            <v>5253620.63</v>
          </cell>
          <cell r="G6">
            <v>2622154.75</v>
          </cell>
          <cell r="H6">
            <v>351730.86</v>
          </cell>
          <cell r="I6">
            <v>330304.26</v>
          </cell>
          <cell r="J6">
            <v>563819.34</v>
          </cell>
          <cell r="K6">
            <v>51381933.17</v>
          </cell>
          <cell r="L6">
            <v>9121629.84</v>
          </cell>
          <cell r="M6">
            <v>912.162984</v>
          </cell>
        </row>
        <row r="7">
          <cell r="A7" t="str">
            <v>攀枝花</v>
          </cell>
          <cell r="B7">
            <v>5139332.68</v>
          </cell>
          <cell r="C7">
            <v>6162180.83</v>
          </cell>
          <cell r="D7">
            <v>2854665.48</v>
          </cell>
          <cell r="E7">
            <v>3372424.71</v>
          </cell>
          <cell r="F7">
            <v>12569803.57</v>
          </cell>
          <cell r="G7">
            <v>16884319.92</v>
          </cell>
          <cell r="H7">
            <v>641642.2</v>
          </cell>
          <cell r="I7">
            <v>251845.89</v>
          </cell>
          <cell r="J7">
            <v>1027585.15</v>
          </cell>
          <cell r="K7">
            <v>48903800.43</v>
          </cell>
          <cell r="L7">
            <v>31375196.73</v>
          </cell>
          <cell r="M7">
            <v>3137.519673</v>
          </cell>
        </row>
        <row r="8">
          <cell r="A8" t="str">
            <v>泸州</v>
          </cell>
          <cell r="B8">
            <v>37222739.41</v>
          </cell>
          <cell r="C8">
            <v>24814524.12</v>
          </cell>
          <cell r="D8">
            <v>10066550.87</v>
          </cell>
          <cell r="E8">
            <v>12951070.26</v>
          </cell>
          <cell r="F8">
            <v>12674103.91</v>
          </cell>
          <cell r="G8">
            <v>3223996.31</v>
          </cell>
          <cell r="H8">
            <v>1575699.64</v>
          </cell>
          <cell r="I8">
            <v>589156.52</v>
          </cell>
          <cell r="J8">
            <v>845711.99</v>
          </cell>
          <cell r="K8">
            <v>103963553.03</v>
          </cell>
          <cell r="L8">
            <v>18908668.37</v>
          </cell>
          <cell r="M8">
            <v>1890.866837</v>
          </cell>
        </row>
        <row r="9">
          <cell r="A9" t="str">
            <v>德阳</v>
          </cell>
          <cell r="B9">
            <v>29145973.47</v>
          </cell>
          <cell r="C9">
            <v>23931982.27</v>
          </cell>
          <cell r="D9">
            <v>8806759.64</v>
          </cell>
          <cell r="E9">
            <v>17711677.34</v>
          </cell>
          <cell r="F9">
            <v>5243453.18</v>
          </cell>
          <cell r="G9">
            <v>895693.15</v>
          </cell>
          <cell r="H9">
            <v>579909.4</v>
          </cell>
          <cell r="I9">
            <v>645059.96</v>
          </cell>
          <cell r="J9">
            <v>739245.11</v>
          </cell>
          <cell r="K9">
            <v>87699753.52</v>
          </cell>
          <cell r="L9">
            <v>8103360.8</v>
          </cell>
          <cell r="M9">
            <v>810.33608</v>
          </cell>
        </row>
        <row r="10">
          <cell r="A10" t="str">
            <v>绵阳</v>
          </cell>
          <cell r="B10">
            <v>47060692.44</v>
          </cell>
          <cell r="C10">
            <v>22855436.68</v>
          </cell>
          <cell r="D10">
            <v>5578495.77</v>
          </cell>
          <cell r="E10">
            <v>19951197.21</v>
          </cell>
          <cell r="F10">
            <v>3162159.37</v>
          </cell>
          <cell r="G10">
            <v>1673156.45</v>
          </cell>
          <cell r="H10">
            <v>990913.18</v>
          </cell>
          <cell r="I10">
            <v>812597.72</v>
          </cell>
          <cell r="J10">
            <v>841666.66</v>
          </cell>
          <cell r="K10">
            <v>102926315.48</v>
          </cell>
          <cell r="L10">
            <v>7480493.38</v>
          </cell>
          <cell r="M10">
            <v>748.049338</v>
          </cell>
        </row>
        <row r="11">
          <cell r="A11" t="str">
            <v>广元</v>
          </cell>
          <cell r="B11">
            <v>15084956.41</v>
          </cell>
          <cell r="C11">
            <v>18340954.11</v>
          </cell>
          <cell r="D11">
            <v>3749014.41</v>
          </cell>
          <cell r="E11">
            <v>7920151.48</v>
          </cell>
          <cell r="F11">
            <v>2229895.67</v>
          </cell>
          <cell r="G11">
            <v>1261794.53</v>
          </cell>
          <cell r="H11">
            <v>565076.27</v>
          </cell>
          <cell r="I11">
            <v>272223.29</v>
          </cell>
          <cell r="J11">
            <v>537775.16</v>
          </cell>
          <cell r="K11">
            <v>49961841.33</v>
          </cell>
          <cell r="L11">
            <v>4866764.92</v>
          </cell>
          <cell r="M11">
            <v>486.676492</v>
          </cell>
        </row>
        <row r="12">
          <cell r="A12" t="str">
            <v>遂宁</v>
          </cell>
          <cell r="B12">
            <v>15822843.63</v>
          </cell>
          <cell r="C12">
            <v>19303170.93</v>
          </cell>
          <cell r="D12">
            <v>2199517.46</v>
          </cell>
          <cell r="E12">
            <v>4121524.04</v>
          </cell>
          <cell r="F12">
            <v>2724406.07</v>
          </cell>
          <cell r="G12">
            <v>638357.72</v>
          </cell>
          <cell r="H12">
            <v>189114.5</v>
          </cell>
          <cell r="I12">
            <v>189797.65</v>
          </cell>
          <cell r="J12">
            <v>1110914.91</v>
          </cell>
          <cell r="K12">
            <v>46299646.91</v>
          </cell>
          <cell r="L12">
            <v>4852590.85</v>
          </cell>
          <cell r="M12">
            <v>485.259085</v>
          </cell>
        </row>
        <row r="13">
          <cell r="A13" t="str">
            <v>内江</v>
          </cell>
          <cell r="B13">
            <v>21480052.34</v>
          </cell>
          <cell r="C13">
            <v>12790791.24</v>
          </cell>
          <cell r="D13">
            <v>2279516.68</v>
          </cell>
          <cell r="E13">
            <v>-6032696.49</v>
          </cell>
          <cell r="F13">
            <v>17222567.81</v>
          </cell>
          <cell r="G13">
            <v>767435.21</v>
          </cell>
          <cell r="H13">
            <v>438248.48</v>
          </cell>
          <cell r="I13">
            <v>395780.53</v>
          </cell>
          <cell r="J13">
            <v>481984.28</v>
          </cell>
          <cell r="K13">
            <v>49823680.08</v>
          </cell>
          <cell r="L13">
            <v>19306016.31</v>
          </cell>
          <cell r="M13">
            <v>1930.601631</v>
          </cell>
        </row>
        <row r="14">
          <cell r="A14" t="str">
            <v>乐山</v>
          </cell>
          <cell r="B14">
            <v>40017526.64</v>
          </cell>
          <cell r="C14">
            <v>20595842.5</v>
          </cell>
          <cell r="D14">
            <v>6403222.71</v>
          </cell>
          <cell r="E14">
            <v>20850857.74</v>
          </cell>
          <cell r="F14">
            <v>10077518.06</v>
          </cell>
          <cell r="G14">
            <v>2402808.5</v>
          </cell>
          <cell r="H14">
            <v>907609.85</v>
          </cell>
          <cell r="I14">
            <v>760785.23</v>
          </cell>
          <cell r="J14">
            <v>1847852.4</v>
          </cell>
          <cell r="K14">
            <v>103864023.63</v>
          </cell>
          <cell r="L14">
            <v>15996574.04</v>
          </cell>
          <cell r="M14">
            <v>1599.657404</v>
          </cell>
        </row>
        <row r="15">
          <cell r="A15" t="str">
            <v>南充</v>
          </cell>
          <cell r="B15">
            <v>31603426.14</v>
          </cell>
          <cell r="C15">
            <v>23445828.68</v>
          </cell>
          <cell r="D15">
            <v>6022268.18</v>
          </cell>
          <cell r="E15">
            <v>14482988.72</v>
          </cell>
          <cell r="F15">
            <v>23408656.95</v>
          </cell>
          <cell r="G15">
            <v>2662014.33</v>
          </cell>
          <cell r="H15">
            <v>645549.4</v>
          </cell>
          <cell r="I15">
            <v>265310.07</v>
          </cell>
          <cell r="J15">
            <v>354845.92</v>
          </cell>
          <cell r="K15">
            <v>102890888.39</v>
          </cell>
          <cell r="L15">
            <v>27336376.67</v>
          </cell>
          <cell r="M15">
            <v>2733.637667</v>
          </cell>
        </row>
        <row r="16">
          <cell r="A16" t="str">
            <v>眉山</v>
          </cell>
          <cell r="B16">
            <v>13616841.68</v>
          </cell>
          <cell r="C16">
            <v>15851090.5</v>
          </cell>
          <cell r="D16">
            <v>2271232.21</v>
          </cell>
          <cell r="E16">
            <v>2483597.25</v>
          </cell>
          <cell r="F16">
            <v>1307576.1</v>
          </cell>
          <cell r="G16">
            <v>488025.62</v>
          </cell>
          <cell r="H16">
            <v>153325.39</v>
          </cell>
          <cell r="I16">
            <v>67904.39</v>
          </cell>
          <cell r="J16">
            <v>37576.55</v>
          </cell>
          <cell r="K16">
            <v>36277169.69</v>
          </cell>
          <cell r="L16">
            <v>2054408.05</v>
          </cell>
          <cell r="M16">
            <v>205.440805</v>
          </cell>
        </row>
        <row r="17">
          <cell r="A17" t="str">
            <v>宜宾</v>
          </cell>
          <cell r="B17">
            <v>15621051.9</v>
          </cell>
          <cell r="C17">
            <v>20948004.76</v>
          </cell>
          <cell r="D17">
            <v>3847480.37</v>
          </cell>
          <cell r="E17">
            <v>14731594.71</v>
          </cell>
          <cell r="F17">
            <v>3232789.76</v>
          </cell>
          <cell r="G17">
            <v>2075880.25</v>
          </cell>
          <cell r="H17">
            <v>559817.76</v>
          </cell>
          <cell r="I17">
            <v>76606.16</v>
          </cell>
          <cell r="J17">
            <v>158589.35</v>
          </cell>
          <cell r="K17">
            <v>61251815.02</v>
          </cell>
          <cell r="L17">
            <v>6103683.28</v>
          </cell>
          <cell r="M17">
            <v>610.368328</v>
          </cell>
        </row>
        <row r="18">
          <cell r="A18" t="str">
            <v>广安</v>
          </cell>
          <cell r="B18">
            <v>18194251.96</v>
          </cell>
          <cell r="C18">
            <v>11151350</v>
          </cell>
          <cell r="D18">
            <v>6812695.71</v>
          </cell>
          <cell r="E18">
            <v>9945985.65</v>
          </cell>
          <cell r="F18">
            <v>3013589.44</v>
          </cell>
          <cell r="G18">
            <v>898867.06</v>
          </cell>
          <cell r="H18">
            <v>795250.61</v>
          </cell>
          <cell r="I18">
            <v>253794.67</v>
          </cell>
          <cell r="J18">
            <v>646034.04</v>
          </cell>
          <cell r="K18">
            <v>51711819.14</v>
          </cell>
          <cell r="L18">
            <v>5607535.82</v>
          </cell>
          <cell r="M18">
            <v>560.753582</v>
          </cell>
        </row>
        <row r="19">
          <cell r="A19" t="str">
            <v>达州</v>
          </cell>
          <cell r="B19">
            <v>30979535.45</v>
          </cell>
          <cell r="C19">
            <v>11506842.61</v>
          </cell>
          <cell r="D19">
            <v>1859152.44</v>
          </cell>
          <cell r="E19">
            <v>12988921.53</v>
          </cell>
          <cell r="F19">
            <v>5122911.48</v>
          </cell>
          <cell r="G19">
            <v>5514979.2</v>
          </cell>
          <cell r="H19">
            <v>1559087.71</v>
          </cell>
          <cell r="I19">
            <v>1519086.51</v>
          </cell>
          <cell r="J19">
            <v>3973259.11</v>
          </cell>
          <cell r="K19">
            <v>75023776.04</v>
          </cell>
          <cell r="L19">
            <v>17689324.01</v>
          </cell>
          <cell r="M19">
            <v>1768.932401</v>
          </cell>
        </row>
        <row r="20">
          <cell r="A20" t="str">
            <v>雅安</v>
          </cell>
          <cell r="B20">
            <v>12236256.44</v>
          </cell>
          <cell r="C20">
            <v>6150447.16</v>
          </cell>
          <cell r="D20">
            <v>1300991.13</v>
          </cell>
          <cell r="E20">
            <v>1971378.75</v>
          </cell>
          <cell r="F20">
            <v>1375816.36</v>
          </cell>
          <cell r="G20">
            <v>263311.01</v>
          </cell>
          <cell r="H20">
            <v>180285.25</v>
          </cell>
          <cell r="I20">
            <v>221679.72</v>
          </cell>
          <cell r="J20">
            <v>451670.03</v>
          </cell>
          <cell r="K20">
            <v>24151835.85</v>
          </cell>
          <cell r="L20">
            <v>2492762.37</v>
          </cell>
          <cell r="M20">
            <v>249.276237</v>
          </cell>
        </row>
        <row r="21">
          <cell r="A21" t="str">
            <v>巴中</v>
          </cell>
          <cell r="B21">
            <v>21351618.46</v>
          </cell>
          <cell r="C21">
            <v>20838274.47</v>
          </cell>
          <cell r="D21">
            <v>-12728592.8</v>
          </cell>
          <cell r="E21">
            <v>25761166.52</v>
          </cell>
          <cell r="F21">
            <v>11936709.27</v>
          </cell>
          <cell r="G21">
            <v>1796010.96</v>
          </cell>
          <cell r="H21">
            <v>980006.96</v>
          </cell>
          <cell r="I21">
            <v>623991.22</v>
          </cell>
          <cell r="J21">
            <v>599561.94</v>
          </cell>
          <cell r="K21">
            <v>71158747</v>
          </cell>
          <cell r="L21">
            <v>15936280.35</v>
          </cell>
          <cell r="M21">
            <v>1593.628035</v>
          </cell>
        </row>
        <row r="22">
          <cell r="A22" t="str">
            <v>资阳</v>
          </cell>
          <cell r="B22">
            <v>8293225.92</v>
          </cell>
          <cell r="C22">
            <v>6193609.21</v>
          </cell>
          <cell r="D22">
            <v>1603602.34</v>
          </cell>
          <cell r="E22">
            <v>7629489.38</v>
          </cell>
          <cell r="F22">
            <v>1395688.21</v>
          </cell>
          <cell r="G22">
            <v>839150.77</v>
          </cell>
          <cell r="H22">
            <v>231137.66</v>
          </cell>
          <cell r="I22">
            <v>405348.69</v>
          </cell>
          <cell r="J22">
            <v>931055.94</v>
          </cell>
          <cell r="K22">
            <v>27522308.12</v>
          </cell>
          <cell r="L22">
            <v>3802381.27</v>
          </cell>
          <cell r="M22">
            <v>380.238127</v>
          </cell>
        </row>
        <row r="23">
          <cell r="A23" t="str">
            <v>阿坝</v>
          </cell>
          <cell r="B23">
            <v>6209020.35</v>
          </cell>
          <cell r="C23">
            <v>9484597.13</v>
          </cell>
          <cell r="D23">
            <v>3383762.22</v>
          </cell>
          <cell r="E23">
            <v>4347801.09</v>
          </cell>
          <cell r="F23">
            <v>1727684.84</v>
          </cell>
          <cell r="G23">
            <v>1374240.36</v>
          </cell>
          <cell r="H23">
            <v>1118682.91</v>
          </cell>
          <cell r="I23">
            <v>601958.69</v>
          </cell>
          <cell r="J23">
            <v>998267.1</v>
          </cell>
          <cell r="K23">
            <v>29246014.69</v>
          </cell>
          <cell r="L23">
            <v>5820833.9</v>
          </cell>
          <cell r="M23">
            <v>582.08339</v>
          </cell>
        </row>
        <row r="24">
          <cell r="A24" t="str">
            <v>甘孜</v>
          </cell>
          <cell r="B24">
            <v>14962166.17</v>
          </cell>
          <cell r="C24">
            <v>2197888.81</v>
          </cell>
          <cell r="D24">
            <v>4921639.74</v>
          </cell>
          <cell r="E24">
            <v>5295108.83</v>
          </cell>
          <cell r="F24">
            <v>8123430</v>
          </cell>
          <cell r="G24">
            <v>3426644.02</v>
          </cell>
          <cell r="H24">
            <v>548435.27</v>
          </cell>
          <cell r="I24">
            <v>389385.58</v>
          </cell>
          <cell r="J24">
            <v>635570.71</v>
          </cell>
          <cell r="K24">
            <v>40500269.13</v>
          </cell>
          <cell r="L24">
            <v>13123465.58</v>
          </cell>
          <cell r="M24">
            <v>1312.346558</v>
          </cell>
        </row>
        <row r="25">
          <cell r="A25" t="str">
            <v>凉山</v>
          </cell>
          <cell r="B25">
            <v>28314557.68</v>
          </cell>
          <cell r="C25">
            <v>15421396.01</v>
          </cell>
          <cell r="D25">
            <v>9609257.26</v>
          </cell>
          <cell r="E25">
            <v>20418623.97</v>
          </cell>
          <cell r="F25">
            <v>2275444.9</v>
          </cell>
          <cell r="G25">
            <v>1103937.26</v>
          </cell>
          <cell r="H25">
            <v>742121.94</v>
          </cell>
          <cell r="I25">
            <v>707087.61</v>
          </cell>
          <cell r="J25">
            <v>429541.73</v>
          </cell>
          <cell r="K25">
            <v>79021968.36</v>
          </cell>
          <cell r="L25">
            <v>5258133.44</v>
          </cell>
          <cell r="M25">
            <v>525.813344</v>
          </cell>
        </row>
        <row r="26">
          <cell r="A26" t="str">
            <v>长途传输局</v>
          </cell>
          <cell r="B26">
            <v>0</v>
          </cell>
          <cell r="C26">
            <v>0</v>
          </cell>
          <cell r="D26">
            <v>0</v>
          </cell>
          <cell r="E26">
            <v>0</v>
          </cell>
          <cell r="F26">
            <v>0</v>
          </cell>
          <cell r="G26">
            <v>0</v>
          </cell>
          <cell r="H26">
            <v>0</v>
          </cell>
          <cell r="I26">
            <v>0</v>
          </cell>
          <cell r="J26">
            <v>0</v>
          </cell>
          <cell r="K26">
            <v>0</v>
          </cell>
          <cell r="L26">
            <v>0</v>
          </cell>
          <cell r="M26">
            <v>0</v>
          </cell>
        </row>
        <row r="27">
          <cell r="A27" t="str">
            <v>机动通信局</v>
          </cell>
          <cell r="B27">
            <v>0</v>
          </cell>
          <cell r="C27">
            <v>0</v>
          </cell>
          <cell r="D27">
            <v>0</v>
          </cell>
          <cell r="E27">
            <v>0</v>
          </cell>
          <cell r="F27">
            <v>0</v>
          </cell>
          <cell r="G27">
            <v>0</v>
          </cell>
          <cell r="H27">
            <v>0</v>
          </cell>
          <cell r="I27">
            <v>0</v>
          </cell>
          <cell r="J27">
            <v>-2570.83</v>
          </cell>
          <cell r="K27">
            <v>-2570.83</v>
          </cell>
          <cell r="L27">
            <v>-2570.83</v>
          </cell>
          <cell r="M27">
            <v>-0.257083</v>
          </cell>
        </row>
        <row r="28">
          <cell r="A28" t="str">
            <v>号百中心</v>
          </cell>
          <cell r="B28">
            <v>52428.13</v>
          </cell>
          <cell r="C28">
            <v>52314</v>
          </cell>
          <cell r="D28">
            <v>15000</v>
          </cell>
          <cell r="E28">
            <v>0</v>
          </cell>
          <cell r="F28">
            <v>20000</v>
          </cell>
          <cell r="G28">
            <v>0</v>
          </cell>
          <cell r="H28">
            <v>0</v>
          </cell>
          <cell r="I28">
            <v>0</v>
          </cell>
          <cell r="J28">
            <v>99886.87</v>
          </cell>
          <cell r="K28">
            <v>239629</v>
          </cell>
          <cell r="L28">
            <v>119886.87</v>
          </cell>
          <cell r="M28">
            <v>11.988687</v>
          </cell>
        </row>
        <row r="29">
          <cell r="A29" t="str">
            <v>天翼空间运营中心</v>
          </cell>
          <cell r="B29">
            <v>0</v>
          </cell>
          <cell r="C29">
            <v>0</v>
          </cell>
          <cell r="D29">
            <v>0</v>
          </cell>
          <cell r="E29">
            <v>0</v>
          </cell>
          <cell r="F29">
            <v>0</v>
          </cell>
          <cell r="G29">
            <v>0</v>
          </cell>
          <cell r="H29">
            <v>0</v>
          </cell>
          <cell r="I29">
            <v>0</v>
          </cell>
          <cell r="J29">
            <v>0</v>
          </cell>
          <cell r="K29">
            <v>0</v>
          </cell>
          <cell r="L29">
            <v>0</v>
          </cell>
          <cell r="M29">
            <v>0</v>
          </cell>
        </row>
      </sheetData>
    </sheetDataSet>
  </externalBook>
</externalLink>
</file>

<file path=xl/externalLinks/externalLink6.xml><?xml version="1.0" encoding="utf-8"?>
<externalLink xmlns="http://schemas.openxmlformats.org/spreadsheetml/2006/main">
  <externalBook xmlns:r="http://schemas.openxmlformats.org/officeDocument/2006/relationships" r:id="rId1">
    <sheetNames>
      <sheetName val="查询结果(2026年1月)"/>
    </sheetNames>
    <sheetDataSet>
      <sheetData sheetId="0" refreshError="1">
        <row r="2">
          <cell r="A2" t="str">
            <v>单位</v>
          </cell>
          <cell r="B2" t="str">
            <v>应收产业数字化业务款【15期末余额  账龄＜1个月】</v>
          </cell>
          <cell r="C2" t="str">
            <v>应收产业数字化业务款【16期末余额  1个月≤账龄≤3个月】</v>
          </cell>
          <cell r="D2" t="str">
            <v>应收产业数字化业务款【17期末余额  3个月＜账龄≤6个月】</v>
          </cell>
          <cell r="E2" t="str">
            <v>应收产业数字化业务款【18期末余额  6个月＜账龄≤1年】</v>
          </cell>
          <cell r="F2" t="str">
            <v>应收产业数字化业务款【19期末余额  1年＜账龄≤2年】</v>
          </cell>
          <cell r="G2" t="str">
            <v>应收产业数字化业务款【20期末余额  2年＜账龄≤3年】</v>
          </cell>
          <cell r="H2" t="str">
            <v>应收产业数字化业务款【28期末余额 3年＜账龄≤4年】</v>
          </cell>
          <cell r="I2" t="str">
            <v>应收产业数字化业务款【29期末余额 4年＜账龄≤5年】</v>
          </cell>
          <cell r="J2" t="str">
            <v>应收产业数字化业务款【30期末余额 5年＜账龄】</v>
          </cell>
          <cell r="K2" t="str">
            <v>应收产业数字化业务款【21期末余额  合计】</v>
          </cell>
          <cell r="L2" t="str">
            <v>一年以上</v>
          </cell>
          <cell r="M2" t="str">
            <v>一年以上</v>
          </cell>
        </row>
        <row r="3">
          <cell r="A3" t="str">
            <v>本部</v>
          </cell>
          <cell r="B3">
            <v>111708620.3</v>
          </cell>
          <cell r="C3">
            <v>111811975.56</v>
          </cell>
          <cell r="D3">
            <v>46664628.01</v>
          </cell>
          <cell r="E3">
            <v>85147669.62</v>
          </cell>
          <cell r="F3">
            <v>4841528.32</v>
          </cell>
          <cell r="G3">
            <v>865122.67</v>
          </cell>
          <cell r="H3">
            <v>2094898.2</v>
          </cell>
          <cell r="I3">
            <v>1705960.16</v>
          </cell>
          <cell r="J3">
            <v>4044336.23</v>
          </cell>
          <cell r="K3">
            <v>368884739.07</v>
          </cell>
          <cell r="L3">
            <v>13551845.58</v>
          </cell>
          <cell r="M3">
            <v>1355.184558</v>
          </cell>
        </row>
        <row r="4">
          <cell r="A4" t="str">
            <v>成都</v>
          </cell>
          <cell r="B4">
            <v>129225585.09</v>
          </cell>
          <cell r="C4">
            <v>140217926.36</v>
          </cell>
          <cell r="D4">
            <v>91687867.59</v>
          </cell>
          <cell r="E4">
            <v>102269396.65</v>
          </cell>
          <cell r="F4">
            <v>38308906.23</v>
          </cell>
          <cell r="G4">
            <v>18471595.74</v>
          </cell>
          <cell r="H4">
            <v>10219442.67</v>
          </cell>
          <cell r="I4">
            <v>5177849.42</v>
          </cell>
          <cell r="J4">
            <v>31408276.46</v>
          </cell>
          <cell r="K4">
            <v>566986846.21</v>
          </cell>
          <cell r="L4">
            <v>103586070.52</v>
          </cell>
          <cell r="M4">
            <v>10358.607052</v>
          </cell>
        </row>
        <row r="5">
          <cell r="A5" t="str">
            <v>天府新区</v>
          </cell>
        </row>
        <row r="5">
          <cell r="L5">
            <v>0</v>
          </cell>
          <cell r="M5">
            <v>0</v>
          </cell>
        </row>
        <row r="6">
          <cell r="A6" t="str">
            <v>自贡</v>
          </cell>
          <cell r="B6">
            <v>-4161608.37</v>
          </cell>
          <cell r="C6">
            <v>13072029.8</v>
          </cell>
          <cell r="D6">
            <v>2475497.5</v>
          </cell>
          <cell r="E6">
            <v>30941979.22</v>
          </cell>
          <cell r="F6">
            <v>9250584.67</v>
          </cell>
          <cell r="G6">
            <v>1878985.39</v>
          </cell>
          <cell r="H6">
            <v>276801.2</v>
          </cell>
          <cell r="I6">
            <v>47416.66</v>
          </cell>
          <cell r="J6">
            <v>78104.45</v>
          </cell>
          <cell r="K6">
            <v>53859790.52</v>
          </cell>
          <cell r="L6">
            <v>11531892.37</v>
          </cell>
          <cell r="M6">
            <v>1153.189237</v>
          </cell>
        </row>
        <row r="7">
          <cell r="A7" t="str">
            <v>攀枝花</v>
          </cell>
          <cell r="B7">
            <v>539552.67</v>
          </cell>
          <cell r="C7">
            <v>6734117.19</v>
          </cell>
          <cell r="D7">
            <v>1794138.39</v>
          </cell>
          <cell r="E7">
            <v>4511897.51</v>
          </cell>
          <cell r="F7">
            <v>1672343.29</v>
          </cell>
          <cell r="G7">
            <v>5636992.67</v>
          </cell>
          <cell r="H7">
            <v>241009.94</v>
          </cell>
          <cell r="I7">
            <v>237641.83</v>
          </cell>
          <cell r="J7">
            <v>173911.36</v>
          </cell>
          <cell r="K7">
            <v>21541604.85</v>
          </cell>
          <cell r="L7">
            <v>7961899.09</v>
          </cell>
          <cell r="M7">
            <v>796.189909</v>
          </cell>
        </row>
        <row r="8">
          <cell r="A8" t="str">
            <v>泸州</v>
          </cell>
          <cell r="B8">
            <v>22234675.29</v>
          </cell>
          <cell r="C8">
            <v>19428370.72</v>
          </cell>
          <cell r="D8">
            <v>5576323.97</v>
          </cell>
          <cell r="E8">
            <v>22611881.79</v>
          </cell>
          <cell r="F8">
            <v>14796328.66</v>
          </cell>
          <cell r="G8">
            <v>4749426.2</v>
          </cell>
          <cell r="H8">
            <v>1010969.42</v>
          </cell>
          <cell r="I8">
            <v>267893.97</v>
          </cell>
          <cell r="J8">
            <v>300775.95</v>
          </cell>
          <cell r="K8">
            <v>90976645.97</v>
          </cell>
          <cell r="L8">
            <v>21125394.2</v>
          </cell>
          <cell r="M8">
            <v>2112.53942</v>
          </cell>
        </row>
        <row r="9">
          <cell r="A9" t="str">
            <v>德阳</v>
          </cell>
          <cell r="B9">
            <v>13047541.6</v>
          </cell>
          <cell r="C9">
            <v>26071603.44</v>
          </cell>
          <cell r="D9">
            <v>7216656.2</v>
          </cell>
          <cell r="E9">
            <v>29175205.27</v>
          </cell>
          <cell r="F9">
            <v>15153726</v>
          </cell>
          <cell r="G9">
            <v>779665.73</v>
          </cell>
          <cell r="H9">
            <v>419389.04</v>
          </cell>
          <cell r="I9">
            <v>159002.25</v>
          </cell>
          <cell r="J9">
            <v>515447.8</v>
          </cell>
          <cell r="K9">
            <v>92538237.33</v>
          </cell>
          <cell r="L9">
            <v>17027230.82</v>
          </cell>
          <cell r="M9">
            <v>1702.723082</v>
          </cell>
        </row>
        <row r="10">
          <cell r="A10" t="str">
            <v>绵阳</v>
          </cell>
          <cell r="B10">
            <v>13722368.1</v>
          </cell>
          <cell r="C10">
            <v>22279487.68</v>
          </cell>
          <cell r="D10">
            <v>6397973.8</v>
          </cell>
          <cell r="E10">
            <v>23821257.09</v>
          </cell>
          <cell r="F10">
            <v>7950689.96</v>
          </cell>
          <cell r="G10">
            <v>788739.4</v>
          </cell>
          <cell r="H10">
            <v>672753.27</v>
          </cell>
          <cell r="I10">
            <v>354784.54</v>
          </cell>
          <cell r="J10">
            <v>582445.32</v>
          </cell>
          <cell r="K10">
            <v>76570499.16</v>
          </cell>
          <cell r="L10">
            <v>10349412.49</v>
          </cell>
          <cell r="M10">
            <v>1034.941249</v>
          </cell>
        </row>
        <row r="11">
          <cell r="A11" t="str">
            <v>广元</v>
          </cell>
          <cell r="B11">
            <v>9082440.97</v>
          </cell>
          <cell r="C11">
            <v>14207201.8</v>
          </cell>
          <cell r="D11">
            <v>4684874.06</v>
          </cell>
          <cell r="E11">
            <v>14761152.29</v>
          </cell>
          <cell r="F11">
            <v>5650589.12</v>
          </cell>
          <cell r="G11">
            <v>553609.91</v>
          </cell>
          <cell r="H11">
            <v>550430.19</v>
          </cell>
          <cell r="I11">
            <v>119485.68</v>
          </cell>
          <cell r="J11">
            <v>107842.4</v>
          </cell>
          <cell r="K11">
            <v>49717626.42</v>
          </cell>
          <cell r="L11">
            <v>6981957.3</v>
          </cell>
          <cell r="M11">
            <v>698.19573</v>
          </cell>
        </row>
        <row r="12">
          <cell r="A12" t="str">
            <v>遂宁</v>
          </cell>
          <cell r="B12">
            <v>3434352</v>
          </cell>
          <cell r="C12">
            <v>13167151.87</v>
          </cell>
          <cell r="D12">
            <v>1956832.29</v>
          </cell>
          <cell r="E12">
            <v>15701211.79</v>
          </cell>
          <cell r="F12">
            <v>10624908.96</v>
          </cell>
          <cell r="G12">
            <v>1712291.69</v>
          </cell>
          <cell r="H12">
            <v>408586.66</v>
          </cell>
          <cell r="I12">
            <v>71070.84</v>
          </cell>
          <cell r="J12">
            <v>139821.46</v>
          </cell>
          <cell r="K12">
            <v>47216227.56</v>
          </cell>
          <cell r="L12">
            <v>12956679.61</v>
          </cell>
          <cell r="M12">
            <v>1295.667961</v>
          </cell>
        </row>
        <row r="13">
          <cell r="A13" t="str">
            <v>内江</v>
          </cell>
          <cell r="B13">
            <v>9771645.27</v>
          </cell>
          <cell r="C13">
            <v>6774348.63</v>
          </cell>
          <cell r="D13">
            <v>1424698.83</v>
          </cell>
          <cell r="E13">
            <v>9033651.39</v>
          </cell>
          <cell r="F13">
            <v>3542136.34</v>
          </cell>
          <cell r="G13">
            <v>4484791.33</v>
          </cell>
          <cell r="H13">
            <v>104590.32</v>
          </cell>
          <cell r="I13">
            <v>50552.68</v>
          </cell>
          <cell r="J13">
            <v>77200.25</v>
          </cell>
          <cell r="K13">
            <v>35263615.04</v>
          </cell>
          <cell r="L13">
            <v>8259270.92</v>
          </cell>
          <cell r="M13">
            <v>825.927092</v>
          </cell>
        </row>
        <row r="14">
          <cell r="A14" t="str">
            <v>乐山</v>
          </cell>
          <cell r="B14">
            <v>15326269.84</v>
          </cell>
          <cell r="C14">
            <v>18639188.79</v>
          </cell>
          <cell r="D14">
            <v>12544585.26</v>
          </cell>
          <cell r="E14">
            <v>25144206.16</v>
          </cell>
          <cell r="F14">
            <v>15960012.78</v>
          </cell>
          <cell r="G14">
            <v>10402338.93</v>
          </cell>
          <cell r="H14">
            <v>931855.65</v>
          </cell>
          <cell r="I14">
            <v>105892.89</v>
          </cell>
          <cell r="J14">
            <v>965081.97</v>
          </cell>
          <cell r="K14">
            <v>100019432.27</v>
          </cell>
          <cell r="L14">
            <v>28365182.22</v>
          </cell>
          <cell r="M14">
            <v>2836.518222</v>
          </cell>
        </row>
        <row r="15">
          <cell r="A15" t="str">
            <v>南充</v>
          </cell>
          <cell r="B15">
            <v>19131962.08</v>
          </cell>
          <cell r="C15">
            <v>15147249.27</v>
          </cell>
          <cell r="D15">
            <v>2754764.17</v>
          </cell>
          <cell r="E15">
            <v>41148203.89</v>
          </cell>
          <cell r="F15">
            <v>11577182.39</v>
          </cell>
          <cell r="G15">
            <v>12443637.8</v>
          </cell>
          <cell r="H15">
            <v>1920099.14</v>
          </cell>
          <cell r="I15">
            <v>272774.25</v>
          </cell>
          <cell r="J15">
            <v>374386.18</v>
          </cell>
          <cell r="K15">
            <v>104770259.17</v>
          </cell>
          <cell r="L15">
            <v>26588079.76</v>
          </cell>
          <cell r="M15">
            <v>2658.807976</v>
          </cell>
        </row>
        <row r="16">
          <cell r="A16" t="str">
            <v>眉山</v>
          </cell>
          <cell r="B16">
            <v>14482207.72</v>
          </cell>
          <cell r="C16">
            <v>32835181.38</v>
          </cell>
          <cell r="D16">
            <v>2751139.33</v>
          </cell>
          <cell r="E16">
            <v>24652637.71</v>
          </cell>
          <cell r="F16">
            <v>3660730.39</v>
          </cell>
          <cell r="G16">
            <v>680938.49</v>
          </cell>
          <cell r="H16">
            <v>169891.67</v>
          </cell>
          <cell r="I16">
            <v>36465.24</v>
          </cell>
          <cell r="J16">
            <v>9893.26</v>
          </cell>
          <cell r="K16">
            <v>79279085.19</v>
          </cell>
          <cell r="L16">
            <v>4557919.05</v>
          </cell>
          <cell r="M16">
            <v>455.791905</v>
          </cell>
        </row>
        <row r="17">
          <cell r="A17" t="str">
            <v>宜宾</v>
          </cell>
          <cell r="B17">
            <v>10324813.74</v>
          </cell>
          <cell r="C17">
            <v>19350746.15</v>
          </cell>
          <cell r="D17">
            <v>8827003.48</v>
          </cell>
          <cell r="E17">
            <v>33455524.25</v>
          </cell>
          <cell r="F17">
            <v>12959561.07</v>
          </cell>
          <cell r="G17">
            <v>990632.7</v>
          </cell>
          <cell r="H17">
            <v>330725.64</v>
          </cell>
          <cell r="I17">
            <v>91355.77</v>
          </cell>
          <cell r="J17">
            <v>38434.26</v>
          </cell>
          <cell r="K17">
            <v>86368797.06</v>
          </cell>
          <cell r="L17">
            <v>14410709.44</v>
          </cell>
          <cell r="M17">
            <v>1441.070944</v>
          </cell>
        </row>
        <row r="18">
          <cell r="A18" t="str">
            <v>广安</v>
          </cell>
          <cell r="B18">
            <v>13689473.32</v>
          </cell>
          <cell r="C18">
            <v>26515925.24</v>
          </cell>
          <cell r="D18">
            <v>10315216.56</v>
          </cell>
          <cell r="E18">
            <v>11909107.32</v>
          </cell>
          <cell r="F18">
            <v>5366557.9</v>
          </cell>
          <cell r="G18">
            <v>913426.62</v>
          </cell>
          <cell r="H18">
            <v>175170.46</v>
          </cell>
          <cell r="I18">
            <v>121334.68</v>
          </cell>
          <cell r="J18">
            <v>94548.73</v>
          </cell>
          <cell r="K18">
            <v>69100760.83</v>
          </cell>
          <cell r="L18">
            <v>6671038.39</v>
          </cell>
          <cell r="M18">
            <v>667.103839</v>
          </cell>
        </row>
        <row r="19">
          <cell r="A19" t="str">
            <v>达州</v>
          </cell>
          <cell r="B19">
            <v>13462737.98</v>
          </cell>
          <cell r="C19">
            <v>1632024.3</v>
          </cell>
          <cell r="D19">
            <v>762084.3</v>
          </cell>
          <cell r="E19">
            <v>9651070.42</v>
          </cell>
          <cell r="F19">
            <v>24336181.12</v>
          </cell>
          <cell r="G19">
            <v>1975228.24</v>
          </cell>
          <cell r="H19">
            <v>454199.94</v>
          </cell>
          <cell r="I19">
            <v>258277.07</v>
          </cell>
          <cell r="J19">
            <v>1334097.03</v>
          </cell>
          <cell r="K19">
            <v>53865900.4</v>
          </cell>
          <cell r="L19">
            <v>28357983.4</v>
          </cell>
          <cell r="M19">
            <v>2835.79834</v>
          </cell>
        </row>
        <row r="20">
          <cell r="A20" t="str">
            <v>雅安</v>
          </cell>
          <cell r="B20">
            <v>10259589.37</v>
          </cell>
          <cell r="C20">
            <v>3604609.07</v>
          </cell>
          <cell r="D20">
            <v>1502155.85</v>
          </cell>
          <cell r="E20">
            <v>2651725.81</v>
          </cell>
          <cell r="F20">
            <v>704170.16</v>
          </cell>
          <cell r="G20">
            <v>148435.48</v>
          </cell>
          <cell r="H20">
            <v>69844.09</v>
          </cell>
          <cell r="I20">
            <v>33534.09</v>
          </cell>
          <cell r="J20">
            <v>95225.29</v>
          </cell>
          <cell r="K20">
            <v>19069289.21</v>
          </cell>
          <cell r="L20">
            <v>1051209.11</v>
          </cell>
          <cell r="M20">
            <v>105.120911</v>
          </cell>
        </row>
        <row r="21">
          <cell r="A21" t="str">
            <v>巴中</v>
          </cell>
          <cell r="B21">
            <v>1365651.41</v>
          </cell>
          <cell r="C21">
            <v>9455027.45</v>
          </cell>
          <cell r="D21">
            <v>8413132.23</v>
          </cell>
          <cell r="E21">
            <v>24016743.71</v>
          </cell>
          <cell r="F21">
            <v>21145990.25</v>
          </cell>
          <cell r="G21">
            <v>1713517.9</v>
          </cell>
          <cell r="H21">
            <v>339836.95</v>
          </cell>
          <cell r="I21">
            <v>393995.25</v>
          </cell>
          <cell r="J21">
            <v>390696.46</v>
          </cell>
          <cell r="K21">
            <v>67234591.61</v>
          </cell>
          <cell r="L21">
            <v>23984036.81</v>
          </cell>
          <cell r="M21">
            <v>2398.403681</v>
          </cell>
        </row>
        <row r="22">
          <cell r="A22" t="str">
            <v>资阳</v>
          </cell>
          <cell r="B22">
            <v>8029752.59</v>
          </cell>
          <cell r="C22">
            <v>3434266.97</v>
          </cell>
          <cell r="D22">
            <v>8147393.1</v>
          </cell>
          <cell r="E22">
            <v>8049826.92</v>
          </cell>
          <cell r="F22">
            <v>3793298.75</v>
          </cell>
          <cell r="G22">
            <v>809028.56</v>
          </cell>
          <cell r="H22">
            <v>146370.41</v>
          </cell>
          <cell r="I22">
            <v>29047.1</v>
          </cell>
          <cell r="J22">
            <v>250249.04</v>
          </cell>
          <cell r="K22">
            <v>32689233.44</v>
          </cell>
          <cell r="L22">
            <v>5027993.86</v>
          </cell>
          <cell r="M22">
            <v>502.799386</v>
          </cell>
        </row>
        <row r="23">
          <cell r="A23" t="str">
            <v>阿坝</v>
          </cell>
          <cell r="B23">
            <v>11960229.67</v>
          </cell>
          <cell r="C23">
            <v>5788122.37</v>
          </cell>
          <cell r="D23">
            <v>4585148.09</v>
          </cell>
          <cell r="E23">
            <v>2802538.47</v>
          </cell>
          <cell r="F23">
            <v>3697175.85</v>
          </cell>
          <cell r="G23">
            <v>576958.81</v>
          </cell>
          <cell r="H23">
            <v>399957.16</v>
          </cell>
          <cell r="I23">
            <v>183191.37</v>
          </cell>
          <cell r="J23">
            <v>351184.23</v>
          </cell>
          <cell r="K23">
            <v>30344506.02</v>
          </cell>
          <cell r="L23">
            <v>5208467.42</v>
          </cell>
          <cell r="M23">
            <v>520.846742</v>
          </cell>
        </row>
        <row r="24">
          <cell r="A24" t="str">
            <v>甘孜</v>
          </cell>
          <cell r="B24">
            <v>19088241.06</v>
          </cell>
          <cell r="C24">
            <v>12872896.7</v>
          </cell>
          <cell r="D24">
            <v>5054091.25</v>
          </cell>
          <cell r="E24">
            <v>7049234.88</v>
          </cell>
          <cell r="F24">
            <v>1455375.32</v>
          </cell>
          <cell r="G24">
            <v>598823.59</v>
          </cell>
          <cell r="H24">
            <v>1290592.76</v>
          </cell>
          <cell r="I24">
            <v>46386.39</v>
          </cell>
          <cell r="J24">
            <v>120532.63</v>
          </cell>
          <cell r="K24">
            <v>47576174.58</v>
          </cell>
          <cell r="L24">
            <v>3511710.69</v>
          </cell>
          <cell r="M24">
            <v>351.171069</v>
          </cell>
        </row>
        <row r="25">
          <cell r="A25" t="str">
            <v>凉山</v>
          </cell>
          <cell r="B25">
            <v>21963639.55</v>
          </cell>
          <cell r="C25">
            <v>27457910.73</v>
          </cell>
          <cell r="D25">
            <v>4169576.95</v>
          </cell>
          <cell r="E25">
            <v>20471577.53</v>
          </cell>
          <cell r="F25">
            <v>15193555.76</v>
          </cell>
          <cell r="G25">
            <v>335807.51</v>
          </cell>
          <cell r="H25">
            <v>314425.86</v>
          </cell>
          <cell r="I25">
            <v>106504.63</v>
          </cell>
          <cell r="J25">
            <v>120890.29</v>
          </cell>
          <cell r="K25">
            <v>90133888.81</v>
          </cell>
          <cell r="L25">
            <v>16071184.05</v>
          </cell>
          <cell r="M25">
            <v>1607.118405</v>
          </cell>
        </row>
      </sheetData>
    </sheetDataSet>
  </externalBook>
</externalLink>
</file>

<file path=xl/externalLinks/externalLink7.xml><?xml version="1.0" encoding="utf-8"?>
<externalLink xmlns="http://schemas.openxmlformats.org/spreadsheetml/2006/main">
  <externalBook xmlns:r="http://schemas.openxmlformats.org/officeDocument/2006/relationships" r:id="rId1">
    <sheetNames>
      <sheetName val="查询结果(2025年1月)"/>
    </sheetNames>
    <sheetDataSet>
      <sheetData sheetId="0" refreshError="1">
        <row r="2">
          <cell r="A2" t="str">
            <v>单位</v>
          </cell>
          <cell r="B2" t="str">
            <v>应收产业数字化业务款【15期末余额  账龄＜1个月】</v>
          </cell>
          <cell r="C2" t="str">
            <v>应收产业数字化业务款【16期末余额  1个月≤账龄≤3个月】</v>
          </cell>
          <cell r="D2" t="str">
            <v>应收产业数字化业务款【17期末余额  3个月＜账龄≤6个月】</v>
          </cell>
          <cell r="E2" t="str">
            <v>应收产业数字化业务款【18期末余额  6个月＜账龄≤1年】</v>
          </cell>
          <cell r="F2" t="str">
            <v>应收产业数字化业务款【19期末余额  1年＜账龄≤2年】</v>
          </cell>
          <cell r="G2" t="str">
            <v>应收产业数字化业务款【20期末余额  2年＜账龄≤3年】</v>
          </cell>
          <cell r="H2" t="str">
            <v>应收产业数字化业务款【28期末余额 3年＜账龄≤4年】</v>
          </cell>
          <cell r="I2" t="str">
            <v>应收产业数字化业务款【29期末余额 4年＜账龄≤5年】</v>
          </cell>
          <cell r="J2" t="str">
            <v>应收产业数字化业务款【30期末余额 5年＜账龄】</v>
          </cell>
          <cell r="K2" t="str">
            <v>应收产业数字化业务款【21期末余额  合计】</v>
          </cell>
          <cell r="L2" t="str">
            <v>一年以上</v>
          </cell>
          <cell r="M2" t="str">
            <v>一年以上</v>
          </cell>
        </row>
        <row r="3">
          <cell r="A3" t="str">
            <v>本部</v>
          </cell>
          <cell r="B3">
            <v>103506857.1</v>
          </cell>
          <cell r="C3">
            <v>123592115.37</v>
          </cell>
          <cell r="D3">
            <v>15620583.97</v>
          </cell>
          <cell r="E3">
            <v>11351410.57</v>
          </cell>
          <cell r="F3">
            <v>1516806.11</v>
          </cell>
          <cell r="G3">
            <v>3456185.82</v>
          </cell>
          <cell r="H3">
            <v>1850456.82</v>
          </cell>
          <cell r="I3">
            <v>1168988.59</v>
          </cell>
          <cell r="J3">
            <v>2386336.38</v>
          </cell>
          <cell r="K3">
            <v>264449740.73</v>
          </cell>
          <cell r="L3">
            <v>10378773.72</v>
          </cell>
          <cell r="M3">
            <v>1037.877372</v>
          </cell>
        </row>
        <row r="4">
          <cell r="A4" t="str">
            <v>成都</v>
          </cell>
          <cell r="B4">
            <v>94622348.25</v>
          </cell>
          <cell r="C4">
            <v>96745025</v>
          </cell>
          <cell r="D4">
            <v>49800605.99</v>
          </cell>
          <cell r="E4">
            <v>18327730</v>
          </cell>
          <cell r="F4">
            <v>19623879.52</v>
          </cell>
          <cell r="G4">
            <v>12649168.86</v>
          </cell>
          <cell r="H4">
            <v>5797597.11</v>
          </cell>
          <cell r="I4">
            <v>2822646.13</v>
          </cell>
          <cell r="J4">
            <v>29640406.51</v>
          </cell>
          <cell r="K4">
            <v>330029407.37</v>
          </cell>
          <cell r="L4">
            <v>70533698.13</v>
          </cell>
          <cell r="M4">
            <v>7053.369813</v>
          </cell>
        </row>
        <row r="5">
          <cell r="A5" t="str">
            <v>天府新区</v>
          </cell>
          <cell r="B5">
            <v>0</v>
          </cell>
          <cell r="C5">
            <v>0</v>
          </cell>
          <cell r="D5">
            <v>0</v>
          </cell>
          <cell r="E5">
            <v>0</v>
          </cell>
          <cell r="F5">
            <v>0</v>
          </cell>
          <cell r="G5">
            <v>0</v>
          </cell>
          <cell r="H5">
            <v>0</v>
          </cell>
          <cell r="I5">
            <v>0</v>
          </cell>
          <cell r="J5">
            <v>0</v>
          </cell>
          <cell r="K5">
            <v>0</v>
          </cell>
          <cell r="L5">
            <v>0</v>
          </cell>
          <cell r="M5">
            <v>0</v>
          </cell>
        </row>
        <row r="6">
          <cell r="A6" t="str">
            <v>自贡</v>
          </cell>
          <cell r="B6">
            <v>-13827710.3</v>
          </cell>
          <cell r="C6">
            <v>13057215.77</v>
          </cell>
          <cell r="D6">
            <v>7429448.04</v>
          </cell>
          <cell r="E6">
            <v>16380873.59</v>
          </cell>
          <cell r="F6">
            <v>4409459.45</v>
          </cell>
          <cell r="G6">
            <v>2335960.41</v>
          </cell>
          <cell r="H6">
            <v>77563.9</v>
          </cell>
          <cell r="I6">
            <v>52512.72</v>
          </cell>
          <cell r="J6">
            <v>63615.92</v>
          </cell>
          <cell r="K6">
            <v>29978939.5</v>
          </cell>
          <cell r="L6">
            <v>6939112.4</v>
          </cell>
          <cell r="M6">
            <v>693.91124</v>
          </cell>
        </row>
        <row r="7">
          <cell r="A7" t="str">
            <v>攀枝花</v>
          </cell>
          <cell r="B7">
            <v>2373922.34</v>
          </cell>
          <cell r="C7">
            <v>2739187.83</v>
          </cell>
          <cell r="D7">
            <v>1515211.45</v>
          </cell>
          <cell r="E7">
            <v>1519218.35</v>
          </cell>
          <cell r="F7">
            <v>8103298.27</v>
          </cell>
          <cell r="G7">
            <v>8080587.04</v>
          </cell>
          <cell r="H7">
            <v>377511.41</v>
          </cell>
          <cell r="I7">
            <v>30663.98</v>
          </cell>
          <cell r="J7">
            <v>151790.4</v>
          </cell>
          <cell r="K7">
            <v>24891391.07</v>
          </cell>
          <cell r="L7">
            <v>16743851.1</v>
          </cell>
          <cell r="M7">
            <v>1674.38511</v>
          </cell>
        </row>
        <row r="8">
          <cell r="A8" t="str">
            <v>泸州</v>
          </cell>
          <cell r="B8">
            <v>13244161.88</v>
          </cell>
          <cell r="C8">
            <v>14503435.38</v>
          </cell>
          <cell r="D8">
            <v>7382800.42</v>
          </cell>
          <cell r="E8">
            <v>9681272.84</v>
          </cell>
          <cell r="F8">
            <v>10502521.93</v>
          </cell>
          <cell r="G8">
            <v>1799771.54</v>
          </cell>
          <cell r="H8">
            <v>269868.66</v>
          </cell>
          <cell r="I8">
            <v>93470.42</v>
          </cell>
          <cell r="J8">
            <v>191219.15</v>
          </cell>
          <cell r="K8">
            <v>57668522.22</v>
          </cell>
          <cell r="L8">
            <v>12856851.7</v>
          </cell>
          <cell r="M8">
            <v>1285.68517</v>
          </cell>
        </row>
        <row r="9">
          <cell r="A9" t="str">
            <v>德阳</v>
          </cell>
          <cell r="B9">
            <v>10739566.65</v>
          </cell>
          <cell r="C9">
            <v>18205823.37</v>
          </cell>
          <cell r="D9">
            <v>8002231.72</v>
          </cell>
          <cell r="E9">
            <v>15503412.48</v>
          </cell>
          <cell r="F9">
            <v>4446647.05</v>
          </cell>
          <cell r="G9">
            <v>532228.89</v>
          </cell>
          <cell r="H9">
            <v>162792.37</v>
          </cell>
          <cell r="I9">
            <v>284574.23</v>
          </cell>
          <cell r="J9">
            <v>248402.26</v>
          </cell>
          <cell r="K9">
            <v>58125679.02</v>
          </cell>
          <cell r="L9">
            <v>5674644.8</v>
          </cell>
          <cell r="M9">
            <v>567.46448</v>
          </cell>
        </row>
        <row r="10">
          <cell r="A10" t="str">
            <v>绵阳</v>
          </cell>
          <cell r="B10">
            <v>11167977.96</v>
          </cell>
          <cell r="C10">
            <v>13132908.64</v>
          </cell>
          <cell r="D10">
            <v>4205573.26</v>
          </cell>
          <cell r="E10">
            <v>17098625.14</v>
          </cell>
          <cell r="F10">
            <v>1562724.04</v>
          </cell>
          <cell r="G10">
            <v>861481.82</v>
          </cell>
          <cell r="H10">
            <v>358271.2</v>
          </cell>
          <cell r="I10">
            <v>358366.68</v>
          </cell>
          <cell r="J10">
            <v>294945.09</v>
          </cell>
          <cell r="K10">
            <v>49040873.83</v>
          </cell>
          <cell r="L10">
            <v>3435788.83</v>
          </cell>
          <cell r="M10">
            <v>343.578883</v>
          </cell>
        </row>
        <row r="11">
          <cell r="A11" t="str">
            <v>广元</v>
          </cell>
          <cell r="B11">
            <v>3950322.58</v>
          </cell>
          <cell r="C11">
            <v>11534306.21</v>
          </cell>
          <cell r="D11">
            <v>2836105.68</v>
          </cell>
          <cell r="E11">
            <v>6584032.48</v>
          </cell>
          <cell r="F11">
            <v>1246812.28</v>
          </cell>
          <cell r="G11">
            <v>765949.02</v>
          </cell>
          <cell r="H11">
            <v>171180.91</v>
          </cell>
          <cell r="I11">
            <v>72879.07</v>
          </cell>
          <cell r="J11">
            <v>81455.25</v>
          </cell>
          <cell r="K11">
            <v>27243043.48</v>
          </cell>
          <cell r="L11">
            <v>2338276.53</v>
          </cell>
          <cell r="M11">
            <v>233.827653</v>
          </cell>
        </row>
        <row r="12">
          <cell r="A12" t="str">
            <v>遂宁</v>
          </cell>
          <cell r="B12">
            <v>5700263.61</v>
          </cell>
          <cell r="C12">
            <v>15420693.39</v>
          </cell>
          <cell r="D12">
            <v>1503623.18</v>
          </cell>
          <cell r="E12">
            <v>3512107.12</v>
          </cell>
          <cell r="F12">
            <v>2301480.12</v>
          </cell>
          <cell r="G12">
            <v>477825.56</v>
          </cell>
          <cell r="H12">
            <v>91220.59</v>
          </cell>
          <cell r="I12">
            <v>30686.6</v>
          </cell>
          <cell r="J12">
            <v>123659.58</v>
          </cell>
          <cell r="K12">
            <v>29161559.75</v>
          </cell>
          <cell r="L12">
            <v>3024872.45</v>
          </cell>
          <cell r="M12">
            <v>302.487245</v>
          </cell>
        </row>
        <row r="13">
          <cell r="A13" t="str">
            <v>内江</v>
          </cell>
          <cell r="B13">
            <v>4993773.38</v>
          </cell>
          <cell r="C13">
            <v>8847358.61</v>
          </cell>
          <cell r="D13">
            <v>1731277.3</v>
          </cell>
          <cell r="E13">
            <v>-7309726.92</v>
          </cell>
          <cell r="F13">
            <v>16373596.78</v>
          </cell>
          <cell r="G13">
            <v>221322.64</v>
          </cell>
          <cell r="H13">
            <v>84938.35</v>
          </cell>
          <cell r="I13">
            <v>32661.68</v>
          </cell>
          <cell r="J13">
            <v>52877</v>
          </cell>
          <cell r="K13">
            <v>25028078.82</v>
          </cell>
          <cell r="L13">
            <v>16765396.45</v>
          </cell>
          <cell r="M13">
            <v>1676.539645</v>
          </cell>
        </row>
        <row r="14">
          <cell r="A14" t="str">
            <v>乐山</v>
          </cell>
          <cell r="B14">
            <v>17298967.95</v>
          </cell>
          <cell r="C14">
            <v>16140680.1</v>
          </cell>
          <cell r="D14">
            <v>5729066.62</v>
          </cell>
          <cell r="E14">
            <v>19097080.07</v>
          </cell>
          <cell r="F14">
            <v>9291788.81</v>
          </cell>
          <cell r="G14">
            <v>2017606.37</v>
          </cell>
          <cell r="H14">
            <v>157089.44</v>
          </cell>
          <cell r="I14">
            <v>238785.98</v>
          </cell>
          <cell r="J14">
            <v>837459.68</v>
          </cell>
          <cell r="K14">
            <v>70808525.02</v>
          </cell>
          <cell r="L14">
            <v>12542730.28</v>
          </cell>
          <cell r="M14">
            <v>1254.273028</v>
          </cell>
        </row>
        <row r="15">
          <cell r="A15" t="str">
            <v>南充</v>
          </cell>
          <cell r="B15">
            <v>-9584135.24</v>
          </cell>
          <cell r="C15">
            <v>8242236.21</v>
          </cell>
          <cell r="D15">
            <v>4479759.72</v>
          </cell>
          <cell r="E15">
            <v>12094857.79</v>
          </cell>
          <cell r="F15">
            <v>22130025.11</v>
          </cell>
          <cell r="G15">
            <v>1987768.83</v>
          </cell>
          <cell r="H15">
            <v>161766.19</v>
          </cell>
          <cell r="I15">
            <v>41069.38</v>
          </cell>
          <cell r="J15">
            <v>142344.66</v>
          </cell>
          <cell r="K15">
            <v>39695692.65</v>
          </cell>
          <cell r="L15">
            <v>24462974.17</v>
          </cell>
          <cell r="M15">
            <v>2446.297417</v>
          </cell>
        </row>
        <row r="16">
          <cell r="A16" t="str">
            <v>眉山</v>
          </cell>
          <cell r="B16">
            <v>2410361.02</v>
          </cell>
          <cell r="C16">
            <v>5000533.56</v>
          </cell>
          <cell r="D16">
            <v>1762186.71</v>
          </cell>
          <cell r="E16">
            <v>1872748.66</v>
          </cell>
          <cell r="F16">
            <v>730633.83</v>
          </cell>
          <cell r="G16">
            <v>275394.9</v>
          </cell>
          <cell r="H16">
            <v>34881.17</v>
          </cell>
          <cell r="I16">
            <v>8918.67</v>
          </cell>
          <cell r="J16">
            <v>224.93</v>
          </cell>
          <cell r="K16">
            <v>12095883.45</v>
          </cell>
          <cell r="L16">
            <v>1050053.5</v>
          </cell>
          <cell r="M16">
            <v>105.00535</v>
          </cell>
        </row>
        <row r="17">
          <cell r="A17" t="str">
            <v>宜宾</v>
          </cell>
          <cell r="B17">
            <v>5882955.48</v>
          </cell>
          <cell r="C17">
            <v>15375416.39</v>
          </cell>
          <cell r="D17">
            <v>2960560.24</v>
          </cell>
          <cell r="E17">
            <v>5282086.44</v>
          </cell>
          <cell r="F17">
            <v>1555555.68</v>
          </cell>
          <cell r="G17">
            <v>692294.77</v>
          </cell>
          <cell r="H17">
            <v>92140.62</v>
          </cell>
          <cell r="I17">
            <v>23941.64</v>
          </cell>
          <cell r="J17">
            <v>22358.1</v>
          </cell>
          <cell r="K17">
            <v>31887309.36</v>
          </cell>
          <cell r="L17">
            <v>2386290.81</v>
          </cell>
          <cell r="M17">
            <v>238.629081</v>
          </cell>
        </row>
        <row r="18">
          <cell r="A18" t="str">
            <v>广安</v>
          </cell>
          <cell r="B18">
            <v>8870647.86</v>
          </cell>
          <cell r="C18">
            <v>6875392.88</v>
          </cell>
          <cell r="D18">
            <v>4808299.14</v>
          </cell>
          <cell r="E18">
            <v>8922857.27</v>
          </cell>
          <cell r="F18">
            <v>2068321.79</v>
          </cell>
          <cell r="G18">
            <v>384044.64</v>
          </cell>
          <cell r="H18">
            <v>520534.22</v>
          </cell>
          <cell r="I18">
            <v>38798.08</v>
          </cell>
          <cell r="J18">
            <v>95893.81</v>
          </cell>
          <cell r="K18">
            <v>32584789.69</v>
          </cell>
          <cell r="L18">
            <v>3107592.54</v>
          </cell>
          <cell r="M18">
            <v>310.759254</v>
          </cell>
        </row>
        <row r="19">
          <cell r="A19" t="str">
            <v>达州</v>
          </cell>
          <cell r="B19">
            <v>2910807.69</v>
          </cell>
          <cell r="C19">
            <v>2874254.87</v>
          </cell>
          <cell r="D19">
            <v>422718.9</v>
          </cell>
          <cell r="E19">
            <v>9369311.78</v>
          </cell>
          <cell r="F19">
            <v>3945303.09</v>
          </cell>
          <cell r="G19">
            <v>4395688.13</v>
          </cell>
          <cell r="H19">
            <v>307850.18</v>
          </cell>
          <cell r="I19">
            <v>303560.82</v>
          </cell>
          <cell r="J19">
            <v>1808466.99</v>
          </cell>
          <cell r="K19">
            <v>26337962.45</v>
          </cell>
          <cell r="L19">
            <v>10760869.21</v>
          </cell>
          <cell r="M19">
            <v>1076.086921</v>
          </cell>
        </row>
        <row r="20">
          <cell r="A20" t="str">
            <v>雅安</v>
          </cell>
          <cell r="B20">
            <v>3230611.17</v>
          </cell>
          <cell r="C20">
            <v>2992665.15</v>
          </cell>
          <cell r="D20">
            <v>813738.7</v>
          </cell>
          <cell r="E20">
            <v>1422438.04</v>
          </cell>
          <cell r="F20">
            <v>1044174.74</v>
          </cell>
          <cell r="G20">
            <v>160822.6</v>
          </cell>
          <cell r="H20">
            <v>41727.49</v>
          </cell>
          <cell r="I20">
            <v>53210.1</v>
          </cell>
          <cell r="J20">
            <v>302911.09</v>
          </cell>
          <cell r="K20">
            <v>10062299.08</v>
          </cell>
          <cell r="L20">
            <v>1602846.02</v>
          </cell>
          <cell r="M20">
            <v>160.284602</v>
          </cell>
        </row>
        <row r="21">
          <cell r="A21" t="str">
            <v>巴中</v>
          </cell>
          <cell r="B21">
            <v>-1475353.41</v>
          </cell>
          <cell r="C21">
            <v>11371386.67</v>
          </cell>
          <cell r="D21">
            <v>7699230.59</v>
          </cell>
          <cell r="E21">
            <v>22773455.12</v>
          </cell>
          <cell r="F21">
            <v>5678062.59</v>
          </cell>
          <cell r="G21">
            <v>1073996.37</v>
          </cell>
          <cell r="H21">
            <v>477456.8</v>
          </cell>
          <cell r="I21">
            <v>172232.76</v>
          </cell>
          <cell r="J21">
            <v>247322.13</v>
          </cell>
          <cell r="K21">
            <v>48017789.62</v>
          </cell>
          <cell r="L21">
            <v>7649070.65</v>
          </cell>
          <cell r="M21">
            <v>764.907065</v>
          </cell>
        </row>
        <row r="22">
          <cell r="A22" t="str">
            <v>资阳</v>
          </cell>
          <cell r="B22">
            <v>3764944.76</v>
          </cell>
          <cell r="C22">
            <v>2798532.98</v>
          </cell>
          <cell r="D22">
            <v>1147455.02</v>
          </cell>
          <cell r="E22">
            <v>6950784.01</v>
          </cell>
          <cell r="F22">
            <v>1036378.14</v>
          </cell>
          <cell r="G22">
            <v>571374.4</v>
          </cell>
          <cell r="H22">
            <v>46944.8</v>
          </cell>
          <cell r="I22">
            <v>123720.37</v>
          </cell>
          <cell r="J22">
            <v>187728.65</v>
          </cell>
          <cell r="K22">
            <v>16627863.13</v>
          </cell>
          <cell r="L22">
            <v>1966146.36</v>
          </cell>
          <cell r="M22">
            <v>196.614636</v>
          </cell>
        </row>
        <row r="23">
          <cell r="A23" t="str">
            <v>阿坝</v>
          </cell>
          <cell r="B23">
            <v>1352615.6</v>
          </cell>
          <cell r="C23">
            <v>5805802.35</v>
          </cell>
          <cell r="D23">
            <v>2123664.78</v>
          </cell>
          <cell r="E23">
            <v>2277213.5</v>
          </cell>
          <cell r="F23">
            <v>894310.71</v>
          </cell>
          <cell r="G23">
            <v>783280.51</v>
          </cell>
          <cell r="H23">
            <v>195578.44</v>
          </cell>
          <cell r="I23">
            <v>188230.51</v>
          </cell>
          <cell r="J23">
            <v>169129.87</v>
          </cell>
          <cell r="K23">
            <v>13789826.27</v>
          </cell>
          <cell r="L23">
            <v>2230530.04</v>
          </cell>
          <cell r="M23">
            <v>223.053004</v>
          </cell>
        </row>
        <row r="24">
          <cell r="A24" t="str">
            <v>甘孜</v>
          </cell>
          <cell r="B24">
            <v>7315715.75</v>
          </cell>
          <cell r="C24">
            <v>169048.3</v>
          </cell>
          <cell r="D24">
            <v>4115944.06</v>
          </cell>
          <cell r="E24">
            <v>3814264.95</v>
          </cell>
          <cell r="F24">
            <v>4257395</v>
          </cell>
          <cell r="G24">
            <v>1615387.76</v>
          </cell>
          <cell r="H24">
            <v>98588.73</v>
          </cell>
          <cell r="I24">
            <v>54381.17</v>
          </cell>
          <cell r="J24">
            <v>65163.13</v>
          </cell>
          <cell r="K24">
            <v>21505888.85</v>
          </cell>
          <cell r="L24">
            <v>6090915.79</v>
          </cell>
          <cell r="M24">
            <v>609.091579</v>
          </cell>
        </row>
        <row r="25">
          <cell r="A25" t="str">
            <v>凉山</v>
          </cell>
          <cell r="B25">
            <v>7882488.86</v>
          </cell>
          <cell r="C25">
            <v>8202094.8</v>
          </cell>
          <cell r="D25">
            <v>8303644.01</v>
          </cell>
          <cell r="E25">
            <v>18397194.17</v>
          </cell>
          <cell r="F25">
            <v>1141810.52</v>
          </cell>
          <cell r="G25">
            <v>544507.7</v>
          </cell>
          <cell r="H25">
            <v>124500.55</v>
          </cell>
          <cell r="I25">
            <v>126171.54</v>
          </cell>
          <cell r="J25">
            <v>57737.26</v>
          </cell>
          <cell r="K25">
            <v>44780149.41</v>
          </cell>
          <cell r="L25">
            <v>1994727.57</v>
          </cell>
          <cell r="M25">
            <v>199.472757</v>
          </cell>
        </row>
      </sheetData>
    </sheetDataSet>
  </externalBook>
</externalLink>
</file>

<file path=xl/externalLinks/externalLink8.xml><?xml version="1.0" encoding="utf-8"?>
<externalLink xmlns="http://schemas.openxmlformats.org/spreadsheetml/2006/main">
  <externalBook xmlns:r="http://schemas.openxmlformats.org/officeDocument/2006/relationships" r:id="rId1">
    <sheetNames>
      <sheetName val="市州营业收现率202501完成"/>
      <sheetName val="科目余额表"/>
    </sheetNames>
    <sheetDataSet>
      <sheetData sheetId="0">
        <row r="1">
          <cell r="B1" t="str">
            <v>单位</v>
          </cell>
          <cell r="C1" t="str">
            <v>营业总收入（不含IDC）</v>
          </cell>
          <cell r="D1" t="str">
            <v>收入基础数据</v>
          </cell>
        </row>
        <row r="2">
          <cell r="F2" t="str">
            <v>营业收现率</v>
          </cell>
        </row>
        <row r="2">
          <cell r="H2" t="str">
            <v>一、收入及销项税</v>
          </cell>
        </row>
        <row r="2">
          <cell r="R2" t="str">
            <v>二、资产类</v>
          </cell>
        </row>
        <row r="2">
          <cell r="AA2" t="str">
            <v>三、负债类</v>
          </cell>
        </row>
        <row r="3">
          <cell r="H3" t="str">
            <v>1.收入</v>
          </cell>
        </row>
        <row r="3">
          <cell r="Q3" t="str">
            <v>2.销项税</v>
          </cell>
          <cell r="R3" t="str">
            <v>3.应收款项</v>
          </cell>
        </row>
        <row r="3">
          <cell r="W3" t="str">
            <v>4.长期应收</v>
          </cell>
        </row>
        <row r="3">
          <cell r="Z3" t="str">
            <v>5.其他应收</v>
          </cell>
          <cell r="AA3" t="str">
            <v>6.预收款项</v>
          </cell>
        </row>
        <row r="3">
          <cell r="AD3" t="str">
            <v>7.应付款项</v>
          </cell>
        </row>
        <row r="3">
          <cell r="AH3" t="str">
            <v>8.其他应付款</v>
          </cell>
        </row>
        <row r="4">
          <cell r="C4" t="str">
            <v>总收入</v>
          </cell>
          <cell r="D4" t="str">
            <v>营业总收入-财报</v>
          </cell>
          <cell r="E4" t="str">
            <v>云锦直销IDC收入</v>
          </cell>
          <cell r="F4" t="str">
            <v>营业收现率完成</v>
          </cell>
          <cell r="G4" t="str">
            <v>经营活动现金流入完成</v>
          </cell>
          <cell r="H4" t="str">
            <v>营运资金变动前的经营收入</v>
          </cell>
          <cell r="I4" t="str">
            <v>营业收入</v>
          </cell>
          <cell r="J4" t="str">
            <v>减：境内运营商网间结算支出&amp;短信及彩信结算支出</v>
          </cell>
          <cell r="K4" t="str">
            <v>利息收入</v>
          </cell>
          <cell r="L4" t="str">
            <v>其他收益</v>
          </cell>
          <cell r="M4" t="str">
            <v>信用减值损失</v>
          </cell>
          <cell r="N4" t="str">
            <v>合同减值损失</v>
          </cell>
          <cell r="O4" t="str">
            <v>营业外收入</v>
          </cell>
          <cell r="P4" t="str">
            <v>减：报废长期资产利得/无法支付的应付款项</v>
          </cell>
          <cell r="Q4" t="str">
            <v>本期发生的增值税销项税额</v>
          </cell>
          <cell r="R4" t="str">
            <v>应收合计</v>
          </cell>
          <cell r="S4" t="str">
            <v>应收票据</v>
          </cell>
          <cell r="T4" t="str">
            <v>应收账款</v>
          </cell>
          <cell r="U4" t="str">
            <v>合同资产</v>
          </cell>
          <cell r="V4" t="str">
            <v>应收利息</v>
          </cell>
          <cell r="W4" t="str">
            <v>长期应收合计</v>
          </cell>
          <cell r="X4" t="str">
            <v>长期应收
（未区分一年以上和一年以内）</v>
          </cell>
          <cell r="Y4" t="str">
            <v>减：手机终端融资租赁</v>
          </cell>
          <cell r="Z4" t="str">
            <v>其他应收</v>
          </cell>
          <cell r="AA4" t="str">
            <v>预收合计</v>
          </cell>
          <cell r="AB4" t="str">
            <v>预收账款</v>
          </cell>
          <cell r="AC4" t="str">
            <v>合同负债</v>
          </cell>
          <cell r="AD4" t="str">
            <v>应付合计</v>
          </cell>
          <cell r="AE4" t="str">
            <v>应付账款-应付CP/SP结算款</v>
          </cell>
          <cell r="AF4" t="str">
            <v>其他流动负债</v>
          </cell>
          <cell r="AG4" t="str">
            <v>递延收益</v>
          </cell>
          <cell r="AH4" t="str">
            <v>其他应付款（仅含其他应付款，不含省内往来）</v>
          </cell>
        </row>
        <row r="5">
          <cell r="C5" t="str">
            <v>口径（取2024年实际完成值-已剔除IDC）</v>
          </cell>
          <cell r="D5" t="str">
            <v>预算</v>
          </cell>
        </row>
        <row r="5">
          <cell r="S5" t="str">
            <v>取科目："1121*"应收票据</v>
          </cell>
          <cell r="T5" t="str">
            <v>取科目："1122*"应收账款+"12310101*"坏账准备.本期计提.应收账款+"12310111*"坏账准备.本期计提.营业款结算+"12310201*"坏账准备.本期转回.应收账款+"12310301*"坏账准备.本期转销.应收账款+"12310401*"坏账准备.本期收回已转销坏账.应收账款+"12319001*"坏账准备.上期结转.应收账款+"1124*"营业款结算</v>
          </cell>
          <cell r="U5" t="str">
            <v>取科目："1126*"合同资产+"12310107*"坏账准备.本期计提.合同资产+"12310207*"坏账准备.本期转回.合同资产+"12310307*"坏账准备.本期转销.合同资产+"12310407*"坏账准备.本期收回已转销坏账.合同资产+"12319007*"坏账准备.上期结转.合同资产</v>
          </cell>
        </row>
        <row r="5">
          <cell r="X5" t="str">
            <v>取科目："12310105*"坏账准备.本期计提.长期应收款+"12310205*"坏账准备.本期转回.长期应收款+"12310305*"坏账准备.本期转销.长期应收款+"12310405*"坏账准备.本期收回已转销坏账.长期应收款+"12319005*"坏账准备.上期结转.长期应收款+“1531*"长期应收款+"1532*"未实现融资收益</v>
          </cell>
          <cell r="Y5" t="str">
            <v>取科目："153101*"</v>
          </cell>
        </row>
        <row r="5">
          <cell r="AB5" t="str">
            <v>取科目："2204*"预收账款</v>
          </cell>
          <cell r="AC5" t="str">
            <v>取科目："2203*"合同负债</v>
          </cell>
        </row>
        <row r="5">
          <cell r="AE5" t="str">
            <v>取科目："2202140100*"</v>
          </cell>
          <cell r="AF5" t="str">
            <v>取科目：“250201”应付债券.短期融资券+"2102*"其他金融负债+"222124*"应交税费.待转销项税额</v>
          </cell>
          <cell r="AG5" t="str">
            <v>取科目："2401*"递延收益</v>
          </cell>
          <cell r="AH5" t="str">
            <v>取科目："2241*"-"224106*"</v>
          </cell>
        </row>
        <row r="6">
          <cell r="B6" t="str">
            <v>省公司本部</v>
          </cell>
          <cell r="C6">
            <v>2277.477258</v>
          </cell>
          <cell r="D6">
            <v>2277.477258</v>
          </cell>
        </row>
        <row r="6">
          <cell r="F6">
            <v>4.50230657187972</v>
          </cell>
          <cell r="G6">
            <v>10253.900826</v>
          </cell>
          <cell r="H6">
            <v>2636.947824</v>
          </cell>
          <cell r="I6">
            <v>2277.477258</v>
          </cell>
          <cell r="J6">
            <v>0</v>
          </cell>
          <cell r="K6">
            <v>0.394694</v>
          </cell>
          <cell r="L6">
            <v>492.943648</v>
          </cell>
          <cell r="M6">
            <v>-169.822748</v>
          </cell>
          <cell r="N6">
            <v>0</v>
          </cell>
          <cell r="O6">
            <v>35.954972</v>
          </cell>
          <cell r="P6">
            <v>0</v>
          </cell>
          <cell r="Q6">
            <v>216.020404</v>
          </cell>
          <cell r="R6">
            <v>-187.99313499999</v>
          </cell>
          <cell r="S6">
            <v>0</v>
          </cell>
          <cell r="T6">
            <v>-187.99313499999</v>
          </cell>
          <cell r="U6">
            <v>0</v>
          </cell>
          <cell r="V6">
            <v>0</v>
          </cell>
          <cell r="W6">
            <v>0</v>
          </cell>
          <cell r="X6">
            <v>0</v>
          </cell>
          <cell r="Y6">
            <v>0</v>
          </cell>
          <cell r="Z6">
            <v>357.973156</v>
          </cell>
          <cell r="AA6">
            <v>365.703340000004</v>
          </cell>
          <cell r="AB6">
            <v>81.09</v>
          </cell>
          <cell r="AC6">
            <v>284.613340000004</v>
          </cell>
          <cell r="AD6">
            <v>-2411.20953699999</v>
          </cell>
          <cell r="AE6">
            <v>-1963.498252</v>
          </cell>
          <cell r="AF6">
            <v>45.2323630000001</v>
          </cell>
          <cell r="AG6">
            <v>-492.94364799999</v>
          </cell>
          <cell r="AH6">
            <v>9616.41881600001</v>
          </cell>
        </row>
        <row r="7">
          <cell r="B7" t="str">
            <v>成都</v>
          </cell>
          <cell r="C7">
            <v>91145.718099</v>
          </cell>
          <cell r="D7">
            <v>91145.718099</v>
          </cell>
        </row>
        <row r="7">
          <cell r="F7">
            <v>0.872281219306914</v>
          </cell>
          <cell r="G7">
            <v>79504.698118</v>
          </cell>
          <cell r="H7">
            <v>88522.709795</v>
          </cell>
          <cell r="I7">
            <v>91145.718099</v>
          </cell>
          <cell r="J7">
            <v>2136.681018</v>
          </cell>
          <cell r="K7">
            <v>0.184197</v>
          </cell>
          <cell r="L7">
            <v>0</v>
          </cell>
          <cell r="M7">
            <v>-531.036981</v>
          </cell>
          <cell r="N7">
            <v>0</v>
          </cell>
          <cell r="O7">
            <v>44.525498</v>
          </cell>
          <cell r="P7">
            <v>0</v>
          </cell>
          <cell r="Q7">
            <v>6913.428206</v>
          </cell>
          <cell r="R7">
            <v>12054.045506</v>
          </cell>
          <cell r="S7">
            <v>0</v>
          </cell>
          <cell r="T7">
            <v>12054.045506</v>
          </cell>
          <cell r="U7">
            <v>0</v>
          </cell>
          <cell r="V7">
            <v>0</v>
          </cell>
          <cell r="W7">
            <v>0</v>
          </cell>
          <cell r="X7">
            <v>67.77944</v>
          </cell>
          <cell r="Y7">
            <v>67.77944</v>
          </cell>
          <cell r="Z7">
            <v>293.879127</v>
          </cell>
          <cell r="AA7">
            <v>-7690.316531</v>
          </cell>
          <cell r="AB7">
            <v>771.794269</v>
          </cell>
          <cell r="AC7">
            <v>-8462.1108</v>
          </cell>
          <cell r="AD7">
            <v>6145.358396</v>
          </cell>
          <cell r="AE7">
            <v>6645.949264</v>
          </cell>
          <cell r="AF7">
            <v>-500.590867999999</v>
          </cell>
          <cell r="AG7">
            <v>0</v>
          </cell>
          <cell r="AH7">
            <v>-2038.55711499999</v>
          </cell>
        </row>
        <row r="8">
          <cell r="B8" t="str">
            <v>自贡</v>
          </cell>
          <cell r="C8">
            <v>6535.892873</v>
          </cell>
          <cell r="D8">
            <v>6535.892873</v>
          </cell>
        </row>
        <row r="8">
          <cell r="F8">
            <v>0.78231439014591</v>
          </cell>
          <cell r="G8">
            <v>5113.123047</v>
          </cell>
          <cell r="H8">
            <v>6079.157595</v>
          </cell>
          <cell r="I8">
            <v>6535.892873</v>
          </cell>
          <cell r="J8">
            <v>196.212524</v>
          </cell>
          <cell r="K8">
            <v>0</v>
          </cell>
          <cell r="L8">
            <v>1.035502</v>
          </cell>
          <cell r="M8">
            <v>-266.26498</v>
          </cell>
          <cell r="N8">
            <v>0</v>
          </cell>
          <cell r="O8">
            <v>4.706724</v>
          </cell>
          <cell r="P8">
            <v>0</v>
          </cell>
          <cell r="Q8">
            <v>518.519103</v>
          </cell>
          <cell r="R8">
            <v>130.337231000001</v>
          </cell>
          <cell r="S8">
            <v>0</v>
          </cell>
          <cell r="T8">
            <v>130.337231000001</v>
          </cell>
          <cell r="U8">
            <v>0</v>
          </cell>
          <cell r="V8">
            <v>0</v>
          </cell>
          <cell r="W8">
            <v>1.13686837721616e-13</v>
          </cell>
          <cell r="X8">
            <v>90.6531610000001</v>
          </cell>
          <cell r="Y8">
            <v>90.653161</v>
          </cell>
          <cell r="Z8">
            <v>-5.30846100000013</v>
          </cell>
          <cell r="AA8">
            <v>-119.811533000001</v>
          </cell>
          <cell r="AB8">
            <v>12.186944</v>
          </cell>
          <cell r="AC8">
            <v>-131.998477000001</v>
          </cell>
          <cell r="AD8">
            <v>-1722.661057</v>
          </cell>
          <cell r="AE8">
            <v>-1722.346641</v>
          </cell>
          <cell r="AF8">
            <v>0.721086000000034</v>
          </cell>
          <cell r="AG8">
            <v>-1.035502</v>
          </cell>
          <cell r="AH8">
            <v>482.947708999998</v>
          </cell>
        </row>
        <row r="9">
          <cell r="B9" t="str">
            <v>攀枝花</v>
          </cell>
          <cell r="C9">
            <v>3458.463967</v>
          </cell>
          <cell r="D9">
            <v>3458.463967</v>
          </cell>
        </row>
        <row r="9">
          <cell r="F9">
            <v>1.01732074428752</v>
          </cell>
          <cell r="G9">
            <v>3518.367137</v>
          </cell>
          <cell r="H9">
            <v>3373.076372</v>
          </cell>
          <cell r="I9">
            <v>3458.463967</v>
          </cell>
          <cell r="J9">
            <v>115.390688</v>
          </cell>
          <cell r="K9">
            <v>0.052175</v>
          </cell>
          <cell r="L9">
            <v>0</v>
          </cell>
          <cell r="M9">
            <v>13.527662</v>
          </cell>
          <cell r="N9">
            <v>10.590336</v>
          </cell>
          <cell r="O9">
            <v>5.83292</v>
          </cell>
          <cell r="P9">
            <v>0</v>
          </cell>
          <cell r="Q9">
            <v>263.727562</v>
          </cell>
          <cell r="R9">
            <v>362.709046000002</v>
          </cell>
          <cell r="S9">
            <v>0</v>
          </cell>
          <cell r="T9">
            <v>352.118710000002</v>
          </cell>
          <cell r="U9">
            <v>10.590336</v>
          </cell>
          <cell r="V9">
            <v>0</v>
          </cell>
          <cell r="W9">
            <v>0</v>
          </cell>
          <cell r="X9">
            <v>0</v>
          </cell>
          <cell r="Y9">
            <v>0</v>
          </cell>
          <cell r="Z9">
            <v>5.61401399999997</v>
          </cell>
          <cell r="AA9">
            <v>98.0804500000005</v>
          </cell>
          <cell r="AB9">
            <v>-8.356737</v>
          </cell>
          <cell r="AC9">
            <v>106.437187</v>
          </cell>
          <cell r="AD9">
            <v>-20.257222</v>
          </cell>
          <cell r="AE9">
            <v>-30.197024</v>
          </cell>
          <cell r="AF9">
            <v>9.939802</v>
          </cell>
          <cell r="AG9">
            <v>0</v>
          </cell>
          <cell r="AH9">
            <v>172.063035</v>
          </cell>
        </row>
        <row r="10">
          <cell r="B10" t="str">
            <v>泸州</v>
          </cell>
          <cell r="C10">
            <v>14319.658173</v>
          </cell>
          <cell r="D10">
            <v>14319.658173</v>
          </cell>
        </row>
        <row r="10">
          <cell r="F10">
            <v>0.905717883786806</v>
          </cell>
          <cell r="G10">
            <v>12969.570497</v>
          </cell>
          <cell r="H10">
            <v>13533.657563</v>
          </cell>
          <cell r="I10">
            <v>14319.658173</v>
          </cell>
          <cell r="J10">
            <v>364.144761</v>
          </cell>
          <cell r="K10">
            <v>0</v>
          </cell>
          <cell r="L10">
            <v>1.351221</v>
          </cell>
          <cell r="M10">
            <v>-429.98962</v>
          </cell>
          <cell r="N10">
            <v>0</v>
          </cell>
          <cell r="O10">
            <v>6.78255</v>
          </cell>
          <cell r="P10">
            <v>0</v>
          </cell>
          <cell r="Q10">
            <v>1094.078224</v>
          </cell>
          <cell r="R10">
            <v>1135.596751</v>
          </cell>
          <cell r="S10">
            <v>0</v>
          </cell>
          <cell r="T10">
            <v>1135.596751</v>
          </cell>
          <cell r="U10">
            <v>0</v>
          </cell>
          <cell r="V10">
            <v>0</v>
          </cell>
          <cell r="W10">
            <v>0</v>
          </cell>
          <cell r="X10">
            <v>0</v>
          </cell>
          <cell r="Y10">
            <v>0</v>
          </cell>
          <cell r="Z10">
            <v>-6.56946599999999</v>
          </cell>
          <cell r="AA10">
            <v>788.456275000001</v>
          </cell>
          <cell r="AB10">
            <v>17.655217</v>
          </cell>
          <cell r="AC10">
            <v>770.801058000001</v>
          </cell>
          <cell r="AD10">
            <v>-792.302907</v>
          </cell>
          <cell r="AE10">
            <v>-865.22463</v>
          </cell>
          <cell r="AF10">
            <v>74.272944</v>
          </cell>
          <cell r="AG10">
            <v>-1.351221</v>
          </cell>
          <cell r="AH10">
            <v>-525.291373000003</v>
          </cell>
        </row>
        <row r="11">
          <cell r="B11" t="str">
            <v>德阳</v>
          </cell>
          <cell r="C11">
            <v>9205.233809</v>
          </cell>
          <cell r="D11">
            <v>9205.233809</v>
          </cell>
        </row>
        <row r="11">
          <cell r="F11">
            <v>0.813230829800425</v>
          </cell>
          <cell r="G11">
            <v>7485.979929</v>
          </cell>
          <cell r="H11">
            <v>8980.040392</v>
          </cell>
          <cell r="I11">
            <v>9205.233809</v>
          </cell>
          <cell r="J11">
            <v>254.816381</v>
          </cell>
          <cell r="K11">
            <v>6.9e-5</v>
          </cell>
          <cell r="L11">
            <v>1.002959</v>
          </cell>
          <cell r="M11">
            <v>16.880975</v>
          </cell>
          <cell r="N11">
            <v>0</v>
          </cell>
          <cell r="O11">
            <v>11.738961</v>
          </cell>
          <cell r="P11">
            <v>0</v>
          </cell>
          <cell r="Q11">
            <v>753.602946</v>
          </cell>
          <cell r="R11">
            <v>884.177453999998</v>
          </cell>
          <cell r="S11">
            <v>83.7</v>
          </cell>
          <cell r="T11">
            <v>800.477453999998</v>
          </cell>
          <cell r="U11">
            <v>0</v>
          </cell>
          <cell r="V11">
            <v>0</v>
          </cell>
          <cell r="W11">
            <v>0</v>
          </cell>
          <cell r="X11">
            <v>0</v>
          </cell>
          <cell r="Y11">
            <v>0</v>
          </cell>
          <cell r="Z11">
            <v>1.26005300000012</v>
          </cell>
          <cell r="AA11">
            <v>567.711102</v>
          </cell>
          <cell r="AB11">
            <v>11.964397</v>
          </cell>
          <cell r="AC11">
            <v>555.746705</v>
          </cell>
          <cell r="AD11">
            <v>-1834.254346</v>
          </cell>
          <cell r="AE11">
            <v>-1882.94142</v>
          </cell>
          <cell r="AF11">
            <v>49.690033</v>
          </cell>
          <cell r="AG11">
            <v>-1.002959</v>
          </cell>
          <cell r="AH11">
            <v>-95.6826580000006</v>
          </cell>
        </row>
        <row r="12">
          <cell r="B12" t="str">
            <v>绵阳</v>
          </cell>
          <cell r="C12">
            <v>16092.873646</v>
          </cell>
          <cell r="D12">
            <v>16092.873646</v>
          </cell>
        </row>
        <row r="12">
          <cell r="F12">
            <v>0.847726106293695</v>
          </cell>
          <cell r="G12">
            <v>13642.349115</v>
          </cell>
          <cell r="H12">
            <v>15404.224076</v>
          </cell>
          <cell r="I12">
            <v>16092.873646</v>
          </cell>
          <cell r="J12">
            <v>479.178125</v>
          </cell>
          <cell r="K12">
            <v>0</v>
          </cell>
          <cell r="L12">
            <v>1.309322</v>
          </cell>
          <cell r="M12">
            <v>-228.941885</v>
          </cell>
          <cell r="N12">
            <v>0.5358</v>
          </cell>
          <cell r="O12">
            <v>17.625318</v>
          </cell>
          <cell r="P12">
            <v>0</v>
          </cell>
          <cell r="Q12">
            <v>1206.471131</v>
          </cell>
          <cell r="R12">
            <v>1551.755926</v>
          </cell>
          <cell r="S12">
            <v>3.868543</v>
          </cell>
          <cell r="T12">
            <v>1570.851583</v>
          </cell>
          <cell r="U12">
            <v>-22.9642</v>
          </cell>
          <cell r="V12">
            <v>0</v>
          </cell>
          <cell r="W12">
            <v>0</v>
          </cell>
          <cell r="X12">
            <v>0</v>
          </cell>
          <cell r="Y12">
            <v>0</v>
          </cell>
          <cell r="Z12">
            <v>3.33045599999987</v>
          </cell>
          <cell r="AA12">
            <v>-574.484245999997</v>
          </cell>
          <cell r="AB12">
            <v>60.677191</v>
          </cell>
          <cell r="AC12">
            <v>-635.161436999997</v>
          </cell>
          <cell r="AD12">
            <v>-1043.292495</v>
          </cell>
          <cell r="AE12">
            <v>-1073.364449</v>
          </cell>
          <cell r="AF12">
            <v>31.3812760000002</v>
          </cell>
          <cell r="AG12">
            <v>-1.309322</v>
          </cell>
          <cell r="AH12">
            <v>204.517031</v>
          </cell>
        </row>
        <row r="13">
          <cell r="B13" t="str">
            <v>广元</v>
          </cell>
          <cell r="C13">
            <v>5710.835819</v>
          </cell>
          <cell r="D13">
            <v>5710.835819</v>
          </cell>
        </row>
        <row r="13">
          <cell r="F13">
            <v>0.885947425448128</v>
          </cell>
          <cell r="G13">
            <v>5059.500291</v>
          </cell>
          <cell r="H13">
            <v>5702.508993</v>
          </cell>
          <cell r="I13">
            <v>5710.835819</v>
          </cell>
          <cell r="J13">
            <v>233.921599</v>
          </cell>
          <cell r="K13">
            <v>0</v>
          </cell>
          <cell r="L13">
            <v>1.15689</v>
          </cell>
          <cell r="M13">
            <v>220.801485</v>
          </cell>
          <cell r="N13">
            <v>0</v>
          </cell>
          <cell r="O13">
            <v>3.636398</v>
          </cell>
          <cell r="P13">
            <v>0</v>
          </cell>
          <cell r="Q13">
            <v>445.038915</v>
          </cell>
          <cell r="R13">
            <v>768.075188</v>
          </cell>
          <cell r="S13">
            <v>0</v>
          </cell>
          <cell r="T13">
            <v>768.075188</v>
          </cell>
          <cell r="U13">
            <v>0</v>
          </cell>
          <cell r="V13">
            <v>0</v>
          </cell>
          <cell r="W13">
            <v>0</v>
          </cell>
          <cell r="X13">
            <v>0</v>
          </cell>
          <cell r="Y13">
            <v>0</v>
          </cell>
          <cell r="Z13">
            <v>-1.8275</v>
          </cell>
          <cell r="AA13">
            <v>23.6024369999998</v>
          </cell>
          <cell r="AB13">
            <v>-19.282796</v>
          </cell>
          <cell r="AC13">
            <v>42.8852329999998</v>
          </cell>
          <cell r="AD13">
            <v>-578.233526</v>
          </cell>
          <cell r="AE13">
            <v>-590.960503</v>
          </cell>
          <cell r="AF13">
            <v>13.883867</v>
          </cell>
          <cell r="AG13">
            <v>-1.15688999999999</v>
          </cell>
          <cell r="AH13">
            <v>232.831160000002</v>
          </cell>
        </row>
        <row r="14">
          <cell r="B14" t="str">
            <v>遂宁</v>
          </cell>
          <cell r="C14">
            <v>6143.600238</v>
          </cell>
          <cell r="D14">
            <v>6143.600238</v>
          </cell>
        </row>
        <row r="14">
          <cell r="F14">
            <v>1.03206732556937</v>
          </cell>
          <cell r="G14">
            <v>6340.609067</v>
          </cell>
          <cell r="H14">
            <v>5956.892003</v>
          </cell>
          <cell r="I14">
            <v>6143.600238</v>
          </cell>
          <cell r="J14">
            <v>199.202108</v>
          </cell>
          <cell r="K14">
            <v>8.6e-5</v>
          </cell>
          <cell r="L14">
            <v>0.911214</v>
          </cell>
          <cell r="M14">
            <v>0.196450000000001</v>
          </cell>
          <cell r="N14">
            <v>0</v>
          </cell>
          <cell r="O14">
            <v>11.386123</v>
          </cell>
          <cell r="P14">
            <v>0</v>
          </cell>
          <cell r="Q14">
            <v>486.926413</v>
          </cell>
          <cell r="R14">
            <v>105.613103000001</v>
          </cell>
          <cell r="S14">
            <v>0</v>
          </cell>
          <cell r="T14">
            <v>105.613103000001</v>
          </cell>
          <cell r="U14">
            <v>0</v>
          </cell>
          <cell r="V14">
            <v>0</v>
          </cell>
          <cell r="W14">
            <v>0</v>
          </cell>
          <cell r="X14">
            <v>0</v>
          </cell>
          <cell r="Y14">
            <v>0</v>
          </cell>
          <cell r="Z14">
            <v>15.725472</v>
          </cell>
          <cell r="AA14">
            <v>44.4208900000004</v>
          </cell>
          <cell r="AB14">
            <v>-23.576342</v>
          </cell>
          <cell r="AC14">
            <v>67.9972320000004</v>
          </cell>
          <cell r="AD14">
            <v>-74.8271149999999</v>
          </cell>
          <cell r="AE14">
            <v>-95.250181</v>
          </cell>
          <cell r="AF14">
            <v>20.423066</v>
          </cell>
          <cell r="AG14">
            <v>0</v>
          </cell>
          <cell r="AH14">
            <v>48.5354509999998</v>
          </cell>
        </row>
        <row r="15">
          <cell r="B15" t="str">
            <v>内江</v>
          </cell>
          <cell r="C15">
            <v>7332.532503</v>
          </cell>
          <cell r="D15">
            <v>7332.532503</v>
          </cell>
        </row>
        <row r="15">
          <cell r="F15">
            <v>1.05797478399531</v>
          </cell>
          <cell r="G15">
            <v>7757.634491</v>
          </cell>
          <cell r="H15">
            <v>7054.493198</v>
          </cell>
          <cell r="I15">
            <v>7332.532503</v>
          </cell>
          <cell r="J15">
            <v>220.511147</v>
          </cell>
          <cell r="K15">
            <v>0.000514</v>
          </cell>
          <cell r="L15">
            <v>0</v>
          </cell>
          <cell r="M15">
            <v>-64.14032</v>
          </cell>
          <cell r="N15">
            <v>0</v>
          </cell>
          <cell r="O15">
            <v>6.611648</v>
          </cell>
          <cell r="P15">
            <v>0</v>
          </cell>
          <cell r="Q15">
            <v>544.59248</v>
          </cell>
          <cell r="R15">
            <v>75.553393</v>
          </cell>
          <cell r="S15">
            <v>0</v>
          </cell>
          <cell r="T15">
            <v>75.553393</v>
          </cell>
          <cell r="U15">
            <v>0</v>
          </cell>
          <cell r="V15">
            <v>0</v>
          </cell>
          <cell r="W15">
            <v>0</v>
          </cell>
          <cell r="X15">
            <v>0</v>
          </cell>
          <cell r="Y15">
            <v>0</v>
          </cell>
          <cell r="Z15">
            <v>8.36539400000004</v>
          </cell>
          <cell r="AA15">
            <v>940.277210000001</v>
          </cell>
          <cell r="AB15">
            <v>34.189667</v>
          </cell>
          <cell r="AC15">
            <v>906.087543000001</v>
          </cell>
          <cell r="AD15">
            <v>-672.881571</v>
          </cell>
          <cell r="AE15">
            <v>-756.436767</v>
          </cell>
          <cell r="AF15">
            <v>83.555196</v>
          </cell>
          <cell r="AG15">
            <v>0</v>
          </cell>
          <cell r="AH15">
            <v>-24.9280390000008</v>
          </cell>
        </row>
        <row r="16">
          <cell r="B16" t="str">
            <v>乐山</v>
          </cell>
          <cell r="C16">
            <v>10792.012791</v>
          </cell>
          <cell r="D16">
            <v>10792.012791</v>
          </cell>
        </row>
        <row r="16">
          <cell r="F16">
            <v>0.909117489110285</v>
          </cell>
          <cell r="G16">
            <v>9811.207571</v>
          </cell>
          <cell r="H16">
            <v>10433.199313</v>
          </cell>
          <cell r="I16">
            <v>10792.012791</v>
          </cell>
          <cell r="J16">
            <v>269.349717</v>
          </cell>
          <cell r="K16">
            <v>0</v>
          </cell>
          <cell r="L16">
            <v>4.632515</v>
          </cell>
          <cell r="M16">
            <v>-100.806153</v>
          </cell>
          <cell r="N16">
            <v>0</v>
          </cell>
          <cell r="O16">
            <v>6.709877</v>
          </cell>
          <cell r="P16">
            <v>0</v>
          </cell>
          <cell r="Q16">
            <v>909.205057</v>
          </cell>
          <cell r="R16">
            <v>1418.782883</v>
          </cell>
          <cell r="S16">
            <v>0</v>
          </cell>
          <cell r="T16">
            <v>1418.782883</v>
          </cell>
          <cell r="U16">
            <v>0</v>
          </cell>
          <cell r="V16">
            <v>0</v>
          </cell>
          <cell r="W16">
            <v>0</v>
          </cell>
          <cell r="X16">
            <v>0</v>
          </cell>
          <cell r="Y16">
            <v>0</v>
          </cell>
          <cell r="Z16">
            <v>23.030626</v>
          </cell>
          <cell r="AA16">
            <v>-1128.459519</v>
          </cell>
          <cell r="AB16">
            <v>-26.44309</v>
          </cell>
          <cell r="AC16">
            <v>-1102.016429</v>
          </cell>
          <cell r="AD16">
            <v>-268.390363</v>
          </cell>
          <cell r="AE16">
            <v>-203.370718</v>
          </cell>
          <cell r="AF16">
            <v>-60.38713</v>
          </cell>
          <cell r="AG16">
            <v>-4.632515</v>
          </cell>
          <cell r="AH16">
            <v>1307.466592</v>
          </cell>
        </row>
        <row r="17">
          <cell r="B17" t="str">
            <v>南充</v>
          </cell>
          <cell r="C17">
            <v>15747.405173</v>
          </cell>
          <cell r="D17">
            <v>15747.405173</v>
          </cell>
        </row>
        <row r="17">
          <cell r="F17">
            <v>1.00174691663152</v>
          </cell>
          <cell r="G17">
            <v>15774.914577</v>
          </cell>
          <cell r="H17">
            <v>14780.532526</v>
          </cell>
          <cell r="I17">
            <v>15747.405173</v>
          </cell>
          <cell r="J17">
            <v>491.1541</v>
          </cell>
          <cell r="K17">
            <v>0</v>
          </cell>
          <cell r="L17">
            <v>0</v>
          </cell>
          <cell r="M17">
            <v>-516.528279</v>
          </cell>
          <cell r="N17">
            <v>0</v>
          </cell>
          <cell r="O17">
            <v>40.809732</v>
          </cell>
          <cell r="P17">
            <v>0</v>
          </cell>
          <cell r="Q17">
            <v>1191.486814</v>
          </cell>
          <cell r="R17">
            <v>411.136713999997</v>
          </cell>
          <cell r="S17">
            <v>0</v>
          </cell>
          <cell r="T17">
            <v>411.136713999997</v>
          </cell>
          <cell r="U17">
            <v>0</v>
          </cell>
          <cell r="V17">
            <v>0</v>
          </cell>
          <cell r="W17">
            <v>0</v>
          </cell>
          <cell r="X17">
            <v>0</v>
          </cell>
          <cell r="Y17">
            <v>0</v>
          </cell>
          <cell r="Z17">
            <v>14.903024</v>
          </cell>
          <cell r="AA17">
            <v>336.122784000003</v>
          </cell>
          <cell r="AB17">
            <v>-14.392061</v>
          </cell>
          <cell r="AC17">
            <v>350.514845000003</v>
          </cell>
          <cell r="AD17">
            <v>-175.937174</v>
          </cell>
          <cell r="AE17">
            <v>-225.587714</v>
          </cell>
          <cell r="AF17">
            <v>49.65054</v>
          </cell>
          <cell r="AG17">
            <v>0</v>
          </cell>
          <cell r="AH17">
            <v>68.7493649999991</v>
          </cell>
        </row>
        <row r="18">
          <cell r="B18" t="str">
            <v>眉山</v>
          </cell>
          <cell r="C18">
            <v>10939.144862</v>
          </cell>
          <cell r="D18">
            <v>10939.144862</v>
          </cell>
        </row>
        <row r="18">
          <cell r="F18">
            <v>0.935366919999747</v>
          </cell>
          <cell r="G18">
            <v>10232.114237</v>
          </cell>
          <cell r="H18">
            <v>10712.747799</v>
          </cell>
          <cell r="I18">
            <v>10939.144862</v>
          </cell>
          <cell r="J18">
            <v>251.592209</v>
          </cell>
          <cell r="K18">
            <v>0</v>
          </cell>
          <cell r="L18">
            <v>0</v>
          </cell>
          <cell r="M18">
            <v>10.857533</v>
          </cell>
          <cell r="N18">
            <v>0</v>
          </cell>
          <cell r="O18">
            <v>14.337613</v>
          </cell>
          <cell r="P18">
            <v>0</v>
          </cell>
          <cell r="Q18">
            <v>935.905677</v>
          </cell>
          <cell r="R18">
            <v>295.307256</v>
          </cell>
          <cell r="S18">
            <v>0</v>
          </cell>
          <cell r="T18">
            <v>295.307256</v>
          </cell>
          <cell r="U18">
            <v>0</v>
          </cell>
          <cell r="V18">
            <v>0</v>
          </cell>
          <cell r="W18">
            <v>0</v>
          </cell>
          <cell r="X18">
            <v>-37.592581</v>
          </cell>
          <cell r="Y18">
            <v>-37.592581</v>
          </cell>
          <cell r="Z18">
            <v>33.9700900000001</v>
          </cell>
          <cell r="AA18">
            <v>-962.197594</v>
          </cell>
          <cell r="AB18">
            <v>-15.85187</v>
          </cell>
          <cell r="AC18">
            <v>-946.345723999999</v>
          </cell>
          <cell r="AD18">
            <v>-1190.53787</v>
          </cell>
          <cell r="AE18">
            <v>-1150.118187</v>
          </cell>
          <cell r="AF18">
            <v>-40.419683</v>
          </cell>
          <cell r="AG18">
            <v>0</v>
          </cell>
          <cell r="AH18">
            <v>1065.473571</v>
          </cell>
        </row>
        <row r="19">
          <cell r="B19" t="str">
            <v>宜宾</v>
          </cell>
          <cell r="C19">
            <v>12679.024039</v>
          </cell>
          <cell r="D19">
            <v>12679.024039</v>
          </cell>
        </row>
        <row r="19">
          <cell r="F19">
            <v>1.03976101294937</v>
          </cell>
          <cell r="G19">
            <v>13183.154878</v>
          </cell>
          <cell r="H19">
            <v>12163.450792</v>
          </cell>
          <cell r="I19">
            <v>12679.024039</v>
          </cell>
          <cell r="J19">
            <v>389.537133</v>
          </cell>
          <cell r="K19">
            <v>-2.9e-5</v>
          </cell>
          <cell r="L19">
            <v>4.273995</v>
          </cell>
          <cell r="M19">
            <v>-134.97547</v>
          </cell>
          <cell r="N19">
            <v>0.101566</v>
          </cell>
          <cell r="O19">
            <v>4.563824</v>
          </cell>
          <cell r="P19">
            <v>0</v>
          </cell>
          <cell r="Q19">
            <v>890.699438</v>
          </cell>
          <cell r="R19">
            <v>259.268366000001</v>
          </cell>
          <cell r="S19">
            <v>0</v>
          </cell>
          <cell r="T19">
            <v>259.166800000002</v>
          </cell>
          <cell r="U19">
            <v>0.101565999999992</v>
          </cell>
          <cell r="V19">
            <v>0</v>
          </cell>
          <cell r="W19">
            <v>0</v>
          </cell>
          <cell r="X19">
            <v>0</v>
          </cell>
          <cell r="Y19">
            <v>0</v>
          </cell>
          <cell r="Z19">
            <v>18.1086030000001</v>
          </cell>
          <cell r="AA19">
            <v>-1029.802719</v>
          </cell>
          <cell r="AB19">
            <v>-12.919017</v>
          </cell>
          <cell r="AC19">
            <v>-1016.883702</v>
          </cell>
          <cell r="AD19">
            <v>-535.11547</v>
          </cell>
          <cell r="AE19">
            <v>-499.884163</v>
          </cell>
          <cell r="AF19">
            <v>-30.9573120000001</v>
          </cell>
          <cell r="AG19">
            <v>-4.27399500000001</v>
          </cell>
          <cell r="AH19">
            <v>1971.299806</v>
          </cell>
        </row>
        <row r="20">
          <cell r="B20" t="str">
            <v>广安</v>
          </cell>
          <cell r="C20">
            <v>7425.072019</v>
          </cell>
          <cell r="D20">
            <v>7425.072019</v>
          </cell>
        </row>
        <row r="20">
          <cell r="F20">
            <v>0.845126165098817</v>
          </cell>
          <cell r="G20">
            <v>6275.122641</v>
          </cell>
          <cell r="H20">
            <v>7064.652032</v>
          </cell>
          <cell r="I20">
            <v>7425.072019</v>
          </cell>
          <cell r="J20">
            <v>219.32385</v>
          </cell>
          <cell r="K20">
            <v>0</v>
          </cell>
          <cell r="L20">
            <v>0</v>
          </cell>
          <cell r="M20">
            <v>-147.516749</v>
          </cell>
          <cell r="N20">
            <v>0</v>
          </cell>
          <cell r="O20">
            <v>6.420612</v>
          </cell>
          <cell r="P20">
            <v>0</v>
          </cell>
          <cell r="Q20">
            <v>507.62497</v>
          </cell>
          <cell r="R20">
            <v>509.003895</v>
          </cell>
          <cell r="S20">
            <v>0</v>
          </cell>
          <cell r="T20">
            <v>509.003895</v>
          </cell>
          <cell r="U20">
            <v>0</v>
          </cell>
          <cell r="V20">
            <v>0</v>
          </cell>
          <cell r="W20">
            <v>0</v>
          </cell>
          <cell r="X20">
            <v>0</v>
          </cell>
          <cell r="Y20">
            <v>0</v>
          </cell>
          <cell r="Z20">
            <v>37.1638449999999</v>
          </cell>
          <cell r="AA20">
            <v>-389.55153</v>
          </cell>
          <cell r="AB20">
            <v>-15.487849</v>
          </cell>
          <cell r="AC20">
            <v>-374.063681</v>
          </cell>
          <cell r="AD20">
            <v>-510.886959</v>
          </cell>
          <cell r="AE20">
            <v>-531.994682</v>
          </cell>
          <cell r="AF20">
            <v>21.107723</v>
          </cell>
          <cell r="AG20">
            <v>0</v>
          </cell>
          <cell r="AH20">
            <v>149.451867999999</v>
          </cell>
        </row>
        <row r="21">
          <cell r="B21" t="str">
            <v>达州</v>
          </cell>
          <cell r="C21">
            <v>11073.952216</v>
          </cell>
          <cell r="D21">
            <v>11073.952216</v>
          </cell>
        </row>
        <row r="21">
          <cell r="F21">
            <v>0.969140325754138</v>
          </cell>
          <cell r="G21">
            <v>10732.213658</v>
          </cell>
          <cell r="H21">
            <v>10938.848666</v>
          </cell>
          <cell r="I21">
            <v>11073.952216</v>
          </cell>
          <cell r="J21">
            <v>377.012311</v>
          </cell>
          <cell r="K21">
            <v>0</v>
          </cell>
          <cell r="L21">
            <v>0</v>
          </cell>
          <cell r="M21">
            <v>234.285945</v>
          </cell>
          <cell r="N21">
            <v>0</v>
          </cell>
          <cell r="O21">
            <v>7.622816</v>
          </cell>
          <cell r="P21">
            <v>0</v>
          </cell>
          <cell r="Q21">
            <v>828.387238</v>
          </cell>
          <cell r="R21">
            <v>736.657125999999</v>
          </cell>
          <cell r="S21">
            <v>0</v>
          </cell>
          <cell r="T21">
            <v>736.657125999999</v>
          </cell>
          <cell r="U21">
            <v>0</v>
          </cell>
          <cell r="V21">
            <v>0</v>
          </cell>
          <cell r="W21">
            <v>0</v>
          </cell>
          <cell r="X21">
            <v>0</v>
          </cell>
          <cell r="Y21">
            <v>0</v>
          </cell>
          <cell r="Z21">
            <v>-5</v>
          </cell>
          <cell r="AA21">
            <v>411.136767000001</v>
          </cell>
          <cell r="AB21">
            <v>3.67933399999999</v>
          </cell>
          <cell r="AC21">
            <v>407.457433000001</v>
          </cell>
          <cell r="AD21">
            <v>-1165.67629</v>
          </cell>
          <cell r="AE21">
            <v>-1213.380623</v>
          </cell>
          <cell r="AF21">
            <v>47.704333</v>
          </cell>
          <cell r="AG21">
            <v>0</v>
          </cell>
          <cell r="AH21">
            <v>451.174403</v>
          </cell>
        </row>
        <row r="22">
          <cell r="B22" t="str">
            <v>雅安</v>
          </cell>
          <cell r="C22">
            <v>5644.980418</v>
          </cell>
          <cell r="D22">
            <v>5644.980418</v>
          </cell>
        </row>
        <row r="22">
          <cell r="F22">
            <v>0.8318483805589</v>
          </cell>
          <cell r="G22">
            <v>4695.767819</v>
          </cell>
          <cell r="H22">
            <v>5454.702938</v>
          </cell>
          <cell r="I22">
            <v>5644.980418</v>
          </cell>
          <cell r="J22">
            <v>128.120247</v>
          </cell>
          <cell r="K22">
            <v>0</v>
          </cell>
          <cell r="L22">
            <v>1.540646</v>
          </cell>
          <cell r="M22">
            <v>-66.539254</v>
          </cell>
          <cell r="N22">
            <v>0</v>
          </cell>
          <cell r="O22">
            <v>2.841375</v>
          </cell>
          <cell r="P22">
            <v>0</v>
          </cell>
          <cell r="Q22">
            <v>428.648357</v>
          </cell>
          <cell r="R22">
            <v>339.294083</v>
          </cell>
          <cell r="S22">
            <v>0</v>
          </cell>
          <cell r="T22">
            <v>339.294083</v>
          </cell>
          <cell r="U22">
            <v>0</v>
          </cell>
          <cell r="V22">
            <v>0</v>
          </cell>
          <cell r="W22">
            <v>0</v>
          </cell>
          <cell r="X22">
            <v>-19.684835</v>
          </cell>
          <cell r="Y22">
            <v>-19.684835</v>
          </cell>
          <cell r="Z22">
            <v>20.545404</v>
          </cell>
          <cell r="AA22">
            <v>-567.504927</v>
          </cell>
          <cell r="AB22">
            <v>-4.597198</v>
          </cell>
          <cell r="AC22">
            <v>-562.907729</v>
          </cell>
          <cell r="AD22">
            <v>-446.991595</v>
          </cell>
          <cell r="AE22">
            <v>-412.460016</v>
          </cell>
          <cell r="AF22">
            <v>-32.990933</v>
          </cell>
          <cell r="AG22">
            <v>-1.540646</v>
          </cell>
          <cell r="AH22">
            <v>186.752532999999</v>
          </cell>
        </row>
        <row r="23">
          <cell r="B23" t="str">
            <v>巴中</v>
          </cell>
          <cell r="C23">
            <v>6732.018585</v>
          </cell>
          <cell r="D23">
            <v>6732.018585</v>
          </cell>
        </row>
        <row r="23">
          <cell r="F23">
            <v>1.14159713939649</v>
          </cell>
          <cell r="G23">
            <v>7685.253159</v>
          </cell>
          <cell r="H23">
            <v>6449.990024</v>
          </cell>
          <cell r="I23">
            <v>6732.018585</v>
          </cell>
          <cell r="J23">
            <v>297.384101</v>
          </cell>
          <cell r="K23">
            <v>0</v>
          </cell>
          <cell r="L23">
            <v>19.56478</v>
          </cell>
          <cell r="M23">
            <v>-8.27806500000001</v>
          </cell>
          <cell r="N23">
            <v>0</v>
          </cell>
          <cell r="O23">
            <v>4.068825</v>
          </cell>
          <cell r="P23">
            <v>0</v>
          </cell>
          <cell r="Q23">
            <v>513.07812</v>
          </cell>
          <cell r="R23">
            <v>224.204044</v>
          </cell>
          <cell r="S23">
            <v>0</v>
          </cell>
          <cell r="T23">
            <v>224.204044</v>
          </cell>
          <cell r="U23">
            <v>0</v>
          </cell>
          <cell r="V23">
            <v>0</v>
          </cell>
          <cell r="W23">
            <v>0</v>
          </cell>
          <cell r="X23">
            <v>0</v>
          </cell>
          <cell r="Y23">
            <v>0</v>
          </cell>
          <cell r="Z23">
            <v>10.4650430000001</v>
          </cell>
          <cell r="AA23">
            <v>588.600284999999</v>
          </cell>
          <cell r="AB23">
            <v>0</v>
          </cell>
          <cell r="AC23">
            <v>588.600284999999</v>
          </cell>
          <cell r="AD23">
            <v>175.70805</v>
          </cell>
          <cell r="AE23">
            <v>146.045795</v>
          </cell>
          <cell r="AF23">
            <v>49.227035</v>
          </cell>
          <cell r="AG23">
            <v>-19.5647800000004</v>
          </cell>
          <cell r="AH23">
            <v>192.545766999999</v>
          </cell>
        </row>
        <row r="24">
          <cell r="B24" t="str">
            <v>资阳</v>
          </cell>
          <cell r="C24">
            <v>5688.669407</v>
          </cell>
          <cell r="D24">
            <v>5688.669407</v>
          </cell>
        </row>
        <row r="24">
          <cell r="F24">
            <v>1.03424186379337</v>
          </cell>
          <cell r="G24">
            <v>5883.46005</v>
          </cell>
          <cell r="H24">
            <v>5424.221826</v>
          </cell>
          <cell r="I24">
            <v>5688.669407</v>
          </cell>
          <cell r="J24">
            <v>214.407664</v>
          </cell>
          <cell r="K24">
            <v>0</v>
          </cell>
          <cell r="L24">
            <v>0</v>
          </cell>
          <cell r="M24">
            <v>-54.039699</v>
          </cell>
          <cell r="N24">
            <v>0</v>
          </cell>
          <cell r="O24">
            <v>3.999782</v>
          </cell>
          <cell r="P24">
            <v>0</v>
          </cell>
          <cell r="Q24">
            <v>448.524598</v>
          </cell>
          <cell r="R24">
            <v>405.562224</v>
          </cell>
          <cell r="S24">
            <v>0</v>
          </cell>
          <cell r="T24">
            <v>405.562224</v>
          </cell>
          <cell r="U24">
            <v>0</v>
          </cell>
          <cell r="V24">
            <v>0</v>
          </cell>
          <cell r="W24">
            <v>0</v>
          </cell>
          <cell r="X24">
            <v>0</v>
          </cell>
          <cell r="Y24">
            <v>0</v>
          </cell>
          <cell r="Z24">
            <v>0</v>
          </cell>
          <cell r="AA24">
            <v>272.244893</v>
          </cell>
          <cell r="AB24">
            <v>4.758452</v>
          </cell>
          <cell r="AC24">
            <v>267.486441</v>
          </cell>
          <cell r="AD24">
            <v>19.4038089999999</v>
          </cell>
          <cell r="AE24">
            <v>-18.419256</v>
          </cell>
          <cell r="AF24">
            <v>37.8230649999999</v>
          </cell>
          <cell r="AG24">
            <v>0</v>
          </cell>
          <cell r="AH24">
            <v>124.627148</v>
          </cell>
        </row>
        <row r="25">
          <cell r="B25" t="str">
            <v>阿坝</v>
          </cell>
          <cell r="C25">
            <v>3352.360037</v>
          </cell>
          <cell r="D25">
            <v>3352.360037</v>
          </cell>
        </row>
        <row r="25">
          <cell r="F25">
            <v>0.334018145020621</v>
          </cell>
          <cell r="G25">
            <v>1119.749081</v>
          </cell>
          <cell r="H25">
            <v>2957.091837</v>
          </cell>
          <cell r="I25">
            <v>3352.360037</v>
          </cell>
          <cell r="J25">
            <v>73.45109</v>
          </cell>
          <cell r="K25">
            <v>0</v>
          </cell>
          <cell r="L25">
            <v>0</v>
          </cell>
          <cell r="M25">
            <v>-323.660373</v>
          </cell>
          <cell r="N25">
            <v>0</v>
          </cell>
          <cell r="O25">
            <v>1.843263</v>
          </cell>
          <cell r="P25">
            <v>0</v>
          </cell>
          <cell r="Q25">
            <v>261.486596</v>
          </cell>
          <cell r="R25">
            <v>-171.886822</v>
          </cell>
          <cell r="S25">
            <v>0</v>
          </cell>
          <cell r="T25">
            <v>-171.886822</v>
          </cell>
          <cell r="U25">
            <v>0</v>
          </cell>
          <cell r="V25">
            <v>0</v>
          </cell>
          <cell r="W25">
            <v>0</v>
          </cell>
          <cell r="X25">
            <v>0</v>
          </cell>
          <cell r="Y25">
            <v>0</v>
          </cell>
          <cell r="Z25">
            <v>8.969</v>
          </cell>
          <cell r="AA25">
            <v>-418.642003</v>
          </cell>
          <cell r="AB25">
            <v>6.58316399999997</v>
          </cell>
          <cell r="AC25">
            <v>-425.225167</v>
          </cell>
          <cell r="AD25">
            <v>-1818.03139</v>
          </cell>
          <cell r="AE25">
            <v>-1797.760855</v>
          </cell>
          <cell r="AF25">
            <v>-20.270535</v>
          </cell>
          <cell r="AG25">
            <v>0</v>
          </cell>
          <cell r="AH25">
            <v>-25.0737810000004</v>
          </cell>
        </row>
        <row r="26">
          <cell r="B26" t="str">
            <v>甘孜</v>
          </cell>
          <cell r="C26">
            <v>4311.378858</v>
          </cell>
          <cell r="D26">
            <v>4311.378858</v>
          </cell>
        </row>
        <row r="26">
          <cell r="F26">
            <v>0.452037776356327</v>
          </cell>
          <cell r="G26">
            <v>1948.906112</v>
          </cell>
          <cell r="H26">
            <v>4113.0614</v>
          </cell>
          <cell r="I26">
            <v>4311.378858</v>
          </cell>
          <cell r="J26">
            <v>80.870423</v>
          </cell>
          <cell r="K26">
            <v>0</v>
          </cell>
          <cell r="L26">
            <v>0</v>
          </cell>
          <cell r="M26">
            <v>-115.290701</v>
          </cell>
          <cell r="N26">
            <v>-3.712716</v>
          </cell>
          <cell r="O26">
            <v>1.556382</v>
          </cell>
          <cell r="P26">
            <v>0</v>
          </cell>
          <cell r="Q26">
            <v>345.462624</v>
          </cell>
          <cell r="R26">
            <v>574.382988000001</v>
          </cell>
          <cell r="S26">
            <v>0</v>
          </cell>
          <cell r="T26">
            <v>578.095704000001</v>
          </cell>
          <cell r="U26">
            <v>-3.71271600000001</v>
          </cell>
          <cell r="V26">
            <v>0</v>
          </cell>
          <cell r="W26">
            <v>0</v>
          </cell>
          <cell r="X26">
            <v>0</v>
          </cell>
          <cell r="Y26">
            <v>0</v>
          </cell>
          <cell r="Z26">
            <v>0</v>
          </cell>
          <cell r="AA26">
            <v>103.084647</v>
          </cell>
          <cell r="AB26">
            <v>29.88221</v>
          </cell>
          <cell r="AC26">
            <v>73.2024369999997</v>
          </cell>
          <cell r="AD26">
            <v>-916.990222</v>
          </cell>
          <cell r="AE26">
            <v>-928.115812</v>
          </cell>
          <cell r="AF26">
            <v>11.12559</v>
          </cell>
          <cell r="AG26">
            <v>0</v>
          </cell>
          <cell r="AH26">
            <v>-1121.329349</v>
          </cell>
        </row>
        <row r="27">
          <cell r="B27" t="str">
            <v>凉山</v>
          </cell>
          <cell r="C27">
            <v>11384.618873</v>
          </cell>
          <cell r="D27">
            <v>11384.618873</v>
          </cell>
        </row>
        <row r="27">
          <cell r="F27">
            <v>0.690021848481075</v>
          </cell>
          <cell r="G27">
            <v>7855.635759</v>
          </cell>
          <cell r="H27">
            <v>11044.927453</v>
          </cell>
          <cell r="I27">
            <v>11384.618873</v>
          </cell>
          <cell r="J27">
            <v>343.995939</v>
          </cell>
          <cell r="K27">
            <v>0</v>
          </cell>
          <cell r="L27">
            <v>2.227225</v>
          </cell>
          <cell r="M27">
            <v>-22.309826</v>
          </cell>
          <cell r="N27">
            <v>0</v>
          </cell>
          <cell r="O27">
            <v>24.38712</v>
          </cell>
          <cell r="P27">
            <v>0</v>
          </cell>
          <cell r="Q27">
            <v>939.582909</v>
          </cell>
          <cell r="R27">
            <v>793.677922</v>
          </cell>
          <cell r="S27">
            <v>0</v>
          </cell>
          <cell r="T27">
            <v>793.677922</v>
          </cell>
          <cell r="U27">
            <v>0</v>
          </cell>
          <cell r="V27">
            <v>0</v>
          </cell>
          <cell r="W27">
            <v>0</v>
          </cell>
          <cell r="X27">
            <v>0</v>
          </cell>
          <cell r="Y27">
            <v>0</v>
          </cell>
          <cell r="Z27">
            <v>-10.434324</v>
          </cell>
          <cell r="AA27">
            <v>-2261.916219</v>
          </cell>
          <cell r="AB27">
            <v>7.99422800000003</v>
          </cell>
          <cell r="AC27">
            <v>-2269.910447</v>
          </cell>
          <cell r="AD27">
            <v>-333.033626</v>
          </cell>
          <cell r="AE27">
            <v>-195.40536</v>
          </cell>
          <cell r="AF27">
            <v>-135.401041</v>
          </cell>
          <cell r="AG27">
            <v>-2.227225</v>
          </cell>
          <cell r="AH27">
            <v>-750.681160000004</v>
          </cell>
        </row>
        <row r="28">
          <cell r="B28" t="str">
            <v>市州合计</v>
          </cell>
          <cell r="C28">
            <v>265715.446405</v>
          </cell>
          <cell r="D28">
            <v>265715.446405</v>
          </cell>
        </row>
        <row r="28">
          <cell r="F28">
            <v>0.890386066880709</v>
          </cell>
          <cell r="G28">
            <v>236589.331234</v>
          </cell>
          <cell r="H28">
            <v>256144.186593</v>
          </cell>
          <cell r="I28">
            <v>265715.446405</v>
          </cell>
          <cell r="J28">
            <v>7336.257135</v>
          </cell>
          <cell r="K28">
            <v>0.237012</v>
          </cell>
          <cell r="L28">
            <v>39.006269</v>
          </cell>
          <cell r="M28">
            <v>-2513.768305</v>
          </cell>
          <cell r="N28">
            <v>7.514986</v>
          </cell>
          <cell r="O28">
            <v>232.007361</v>
          </cell>
          <cell r="P28">
            <v>0</v>
          </cell>
          <cell r="Q28">
            <v>20426.477378</v>
          </cell>
          <cell r="R28">
            <v>22863.254277</v>
          </cell>
          <cell r="S28">
            <v>87.568543</v>
          </cell>
          <cell r="T28">
            <v>22791.670748</v>
          </cell>
          <cell r="U28">
            <v>-15.985014</v>
          </cell>
          <cell r="V28">
            <v>0</v>
          </cell>
          <cell r="W28">
            <v>1.13686837721616e-13</v>
          </cell>
          <cell r="X28">
            <v>101.155185</v>
          </cell>
          <cell r="Y28">
            <v>101.155185</v>
          </cell>
          <cell r="Z28">
            <v>466.1904</v>
          </cell>
          <cell r="AA28">
            <v>-10968.949081</v>
          </cell>
          <cell r="AB28">
            <v>820.458113</v>
          </cell>
          <cell r="AC28">
            <v>-11789.407194</v>
          </cell>
          <cell r="AD28">
            <v>-7759.830943</v>
          </cell>
          <cell r="AE28">
            <v>-7401.223942</v>
          </cell>
          <cell r="AF28">
            <v>-320.511945999999</v>
          </cell>
          <cell r="AG28">
            <v>-38.0950550000004</v>
          </cell>
          <cell r="AH28">
            <v>2076.891964</v>
          </cell>
        </row>
      </sheetData>
      <sheetData sheetId="1"/>
    </sheetDataSet>
  </externalBook>
</externalLink>
</file>

<file path=xl/externalLinks/externalLink9.xml><?xml version="1.0" encoding="utf-8"?>
<externalLink xmlns="http://schemas.openxmlformats.org/spreadsheetml/2006/main">
  <externalBook xmlns:r="http://schemas.openxmlformats.org/officeDocument/2006/relationships" r:id="rId1">
    <sheetNames>
      <sheetName val="市州营业收现率1月完成"/>
      <sheetName val="科目余额表"/>
    </sheetNames>
    <sheetDataSet>
      <sheetData sheetId="0">
        <row r="1">
          <cell r="B1" t="str">
            <v>单位</v>
          </cell>
          <cell r="C1" t="str">
            <v>营业总收入（不含IDC）</v>
          </cell>
          <cell r="D1" t="str">
            <v>收入基础数据</v>
          </cell>
        </row>
        <row r="2">
          <cell r="F2" t="str">
            <v>营业收现率</v>
          </cell>
        </row>
        <row r="2">
          <cell r="I2" t="str">
            <v>一、收入及销项税</v>
          </cell>
        </row>
        <row r="2">
          <cell r="S2" t="str">
            <v>二、资产类</v>
          </cell>
        </row>
        <row r="2">
          <cell r="AB2" t="str">
            <v>三、负债类</v>
          </cell>
        </row>
        <row r="3">
          <cell r="I3" t="str">
            <v>1.收入</v>
          </cell>
        </row>
        <row r="3">
          <cell r="R3" t="str">
            <v>2.销项税</v>
          </cell>
          <cell r="S3" t="str">
            <v>3.应收款项</v>
          </cell>
        </row>
        <row r="3">
          <cell r="X3" t="str">
            <v>4.长期应收</v>
          </cell>
        </row>
        <row r="3">
          <cell r="AA3" t="str">
            <v>5.其他应收</v>
          </cell>
          <cell r="AB3" t="str">
            <v>6.预收款项</v>
          </cell>
        </row>
        <row r="3">
          <cell r="AE3" t="str">
            <v>7.应付款项</v>
          </cell>
        </row>
        <row r="3">
          <cell r="AI3" t="str">
            <v>8.其他应付款</v>
          </cell>
        </row>
        <row r="4">
          <cell r="C4" t="str">
            <v>总收入</v>
          </cell>
          <cell r="D4" t="str">
            <v>营业总收入-财报</v>
          </cell>
          <cell r="E4" t="str">
            <v>云锦直销IDC收入</v>
          </cell>
          <cell r="F4" t="str">
            <v>营业收现率完成</v>
          </cell>
        </row>
        <row r="4">
          <cell r="H4" t="str">
            <v>经营活动现金流入完成</v>
          </cell>
          <cell r="I4" t="str">
            <v>营运资金变动前的经营收入</v>
          </cell>
          <cell r="J4" t="str">
            <v>营业收入</v>
          </cell>
          <cell r="K4" t="str">
            <v>减：境内运营商网间结算支出&amp;短信及彩信结算支出</v>
          </cell>
          <cell r="L4" t="str">
            <v>利息收入</v>
          </cell>
          <cell r="M4" t="str">
            <v>其他收益</v>
          </cell>
          <cell r="N4" t="str">
            <v>信用减值损失</v>
          </cell>
          <cell r="O4" t="str">
            <v>合同减值损失</v>
          </cell>
          <cell r="P4" t="str">
            <v>营业外收入</v>
          </cell>
          <cell r="Q4" t="str">
            <v>减：报废长期资产利得/无法支付的应付款项</v>
          </cell>
          <cell r="R4" t="str">
            <v>本期发生的增值税销项税额</v>
          </cell>
          <cell r="S4" t="str">
            <v>应收合计</v>
          </cell>
          <cell r="T4" t="str">
            <v>应收票据</v>
          </cell>
          <cell r="U4" t="str">
            <v>应收账款</v>
          </cell>
          <cell r="V4" t="str">
            <v>合同资产</v>
          </cell>
          <cell r="W4" t="str">
            <v>应收利息</v>
          </cell>
          <cell r="X4" t="str">
            <v>长期应收合计</v>
          </cell>
          <cell r="Y4" t="str">
            <v>长期应收
（未区分一年以上和一年以内）</v>
          </cell>
          <cell r="Z4" t="str">
            <v>减：手机终端融资租赁</v>
          </cell>
          <cell r="AA4" t="str">
            <v>其他应收</v>
          </cell>
          <cell r="AB4" t="str">
            <v>预收合计</v>
          </cell>
          <cell r="AC4" t="str">
            <v>预收账款</v>
          </cell>
          <cell r="AD4" t="str">
            <v>合同负债</v>
          </cell>
          <cell r="AE4" t="str">
            <v>应付合计</v>
          </cell>
          <cell r="AF4" t="str">
            <v>应付账款-应付CP/SP结算款</v>
          </cell>
          <cell r="AG4" t="str">
            <v>其他流动负债</v>
          </cell>
          <cell r="AH4" t="str">
            <v>递延收益</v>
          </cell>
          <cell r="AI4" t="str">
            <v>其他应付款（仅含其他应付款，不含省内往来）</v>
          </cell>
        </row>
        <row r="5">
          <cell r="C5" t="str">
            <v>口径</v>
          </cell>
          <cell r="D5" t="str">
            <v>预算</v>
          </cell>
        </row>
        <row r="5">
          <cell r="T5" t="str">
            <v>取科目："1121*"应收票据</v>
          </cell>
          <cell r="U5" t="str">
            <v>取科目："1122*"应收账款+"12310101*"坏账准备.本期计提.应收账款+"12310111*"坏账准备.本期计提.营业款结算+"12310201*"坏账准备.本期转回.应收账款+"12310301*"坏账准备.本期转销.应收账款+"12310401*"坏账准备.本期收回已转销坏账.应收账款+"12319001*"坏账准备.上期结转.应收账款+"1124*"营业款结算</v>
          </cell>
          <cell r="V5" t="str">
            <v>取科目："1126*"合同资产+"12310107*"坏账准备.本期计提.合同资产+"12310207*"坏账准备.本期转回.合同资产+"12310307*"坏账准备.本期转销.合同资产+"12310407*"坏账准备.本期收回已转销坏账.合同资产+"12319007*"坏账准备.上期结转.合同资产</v>
          </cell>
        </row>
        <row r="5">
          <cell r="Y5" t="str">
            <v>取科目："12310105*"坏账准备.本期计提.长期应收款+"12310205*"坏账准备.本期转回.长期应收款+"12310305*"坏账准备.本期转销.长期应收款+"12310405*"坏账准备.本期收回已转销坏账.长期应收款+"12319005*"坏账准备.上期结转.长期应收款+“1531*"长期应收款+"1532*"未实现融资收益</v>
          </cell>
          <cell r="Z5" t="str">
            <v>取科目："153101*"</v>
          </cell>
        </row>
        <row r="5">
          <cell r="AC5" t="str">
            <v>取科目："2204*"预收账款</v>
          </cell>
          <cell r="AD5" t="str">
            <v>取科目："2203*"合同负债</v>
          </cell>
        </row>
        <row r="5">
          <cell r="AF5" t="str">
            <v>取科目："2202140100*"</v>
          </cell>
          <cell r="AG5" t="str">
            <v>取科目：“250201”应付债券.短期融资券+"2102*"其他金融负债+"222124*"应交税费.待转销项税额</v>
          </cell>
          <cell r="AH5" t="str">
            <v>取科目："2401*"递延收益</v>
          </cell>
          <cell r="AI5" t="str">
            <v>取科目："2241*"-"224106*"</v>
          </cell>
        </row>
        <row r="6">
          <cell r="B6" t="str">
            <v>省公司本部</v>
          </cell>
          <cell r="C6">
            <v>2367.951122</v>
          </cell>
          <cell r="D6">
            <v>2367.951122</v>
          </cell>
        </row>
        <row r="6">
          <cell r="F6">
            <v>10.6484441392114</v>
          </cell>
        </row>
        <row r="6">
          <cell r="H6">
            <v>25214.995247</v>
          </cell>
          <cell r="I6">
            <v>14757.871364</v>
          </cell>
          <cell r="J6">
            <v>2367.951122</v>
          </cell>
          <cell r="K6">
            <v>2.03726813197136e-14</v>
          </cell>
          <cell r="L6">
            <v>0.444319</v>
          </cell>
          <cell r="M6">
            <v>13348.622549</v>
          </cell>
          <cell r="N6">
            <v>-967.220843</v>
          </cell>
          <cell r="O6">
            <v>0</v>
          </cell>
          <cell r="P6">
            <v>8.074217</v>
          </cell>
          <cell r="Q6">
            <v>0</v>
          </cell>
          <cell r="R6">
            <v>849.05295</v>
          </cell>
          <cell r="S6">
            <v>-6044.108579</v>
          </cell>
          <cell r="T6">
            <v>0</v>
          </cell>
          <cell r="U6">
            <v>-6044.108579</v>
          </cell>
          <cell r="V6">
            <v>0</v>
          </cell>
          <cell r="W6">
            <v>0</v>
          </cell>
          <cell r="X6">
            <v>0</v>
          </cell>
          <cell r="Y6">
            <v>0</v>
          </cell>
          <cell r="Z6">
            <v>0</v>
          </cell>
          <cell r="AA6">
            <v>145.413967</v>
          </cell>
          <cell r="AB6">
            <v>-3026.023543</v>
          </cell>
          <cell r="AC6">
            <v>44.88</v>
          </cell>
          <cell r="AD6">
            <v>-3070.903543</v>
          </cell>
          <cell r="AE6">
            <v>3108.78883199999</v>
          </cell>
          <cell r="AF6">
            <v>4207.252123</v>
          </cell>
          <cell r="AG6">
            <v>-173.872613</v>
          </cell>
          <cell r="AH6">
            <v>-924.590678000009</v>
          </cell>
          <cell r="AI6">
            <v>3626.61103200002</v>
          </cell>
        </row>
        <row r="7">
          <cell r="B7" t="str">
            <v>成都</v>
          </cell>
          <cell r="C7">
            <v>89230.613359</v>
          </cell>
          <cell r="D7">
            <v>89230.613359</v>
          </cell>
        </row>
        <row r="7">
          <cell r="F7">
            <v>0.807281293934247</v>
          </cell>
          <cell r="G7">
            <v>12</v>
          </cell>
          <cell r="H7">
            <v>72034.2050110001</v>
          </cell>
          <cell r="I7">
            <v>86305.804183</v>
          </cell>
          <cell r="J7">
            <v>89230.613359</v>
          </cell>
          <cell r="K7">
            <v>2145.212114</v>
          </cell>
          <cell r="L7">
            <v>0.032339</v>
          </cell>
          <cell r="M7">
            <v>75.019203</v>
          </cell>
          <cell r="N7">
            <v>-923.887791</v>
          </cell>
          <cell r="O7">
            <v>0</v>
          </cell>
          <cell r="P7">
            <v>69.239187</v>
          </cell>
          <cell r="Q7">
            <v>0</v>
          </cell>
          <cell r="R7">
            <v>9071.992506</v>
          </cell>
          <cell r="S7">
            <v>14220.81779</v>
          </cell>
          <cell r="T7">
            <v>0</v>
          </cell>
          <cell r="U7">
            <v>14220.81779</v>
          </cell>
          <cell r="V7">
            <v>0</v>
          </cell>
          <cell r="W7">
            <v>0</v>
          </cell>
          <cell r="X7">
            <v>0</v>
          </cell>
          <cell r="Y7">
            <v>0</v>
          </cell>
          <cell r="Z7">
            <v>0</v>
          </cell>
          <cell r="AA7">
            <v>-29.9669409999996</v>
          </cell>
          <cell r="AB7">
            <v>-3366.75441799999</v>
          </cell>
          <cell r="AC7">
            <v>-113.780028</v>
          </cell>
          <cell r="AD7">
            <v>-3252.97438999999</v>
          </cell>
          <cell r="AE7">
            <v>-4571.361564</v>
          </cell>
          <cell r="AF7">
            <v>-4422.341808</v>
          </cell>
          <cell r="AG7">
            <v>-149.019756</v>
          </cell>
          <cell r="AH7">
            <v>0</v>
          </cell>
          <cell r="AI7">
            <v>-1214.62484699999</v>
          </cell>
        </row>
        <row r="8">
          <cell r="B8" t="str">
            <v>自贡</v>
          </cell>
          <cell r="C8">
            <v>6547.741043</v>
          </cell>
          <cell r="D8">
            <v>6547.741043</v>
          </cell>
        </row>
        <row r="8">
          <cell r="F8">
            <v>0.644638995843073</v>
          </cell>
          <cell r="G8">
            <v>18</v>
          </cell>
          <cell r="H8">
            <v>4220.929211</v>
          </cell>
          <cell r="I8">
            <v>6079.671421</v>
          </cell>
          <cell r="J8">
            <v>6547.741043</v>
          </cell>
          <cell r="K8">
            <v>158.601789</v>
          </cell>
          <cell r="L8">
            <v>0</v>
          </cell>
          <cell r="M8">
            <v>176.035394</v>
          </cell>
          <cell r="N8">
            <v>-493.068297</v>
          </cell>
          <cell r="O8">
            <v>0</v>
          </cell>
          <cell r="P8">
            <v>7.56507</v>
          </cell>
          <cell r="Q8">
            <v>0</v>
          </cell>
          <cell r="R8">
            <v>616.40145</v>
          </cell>
          <cell r="S8">
            <v>758.618932000003</v>
          </cell>
          <cell r="T8">
            <v>0</v>
          </cell>
          <cell r="U8">
            <v>758.618932000003</v>
          </cell>
          <cell r="V8">
            <v>0</v>
          </cell>
          <cell r="W8">
            <v>0</v>
          </cell>
          <cell r="X8">
            <v>4.65738558830253e-14</v>
          </cell>
          <cell r="Y8">
            <v>0.431331000000052</v>
          </cell>
          <cell r="Z8">
            <v>0.431331000000006</v>
          </cell>
          <cell r="AA8">
            <v>2.03901999999993</v>
          </cell>
          <cell r="AB8">
            <v>34.9269640000005</v>
          </cell>
          <cell r="AC8">
            <v>19.513131</v>
          </cell>
          <cell r="AD8">
            <v>15.4138330000006</v>
          </cell>
          <cell r="AE8">
            <v>-1748.634377</v>
          </cell>
          <cell r="AF8">
            <v>-1750.494177</v>
          </cell>
          <cell r="AG8">
            <v>6.33323100000005</v>
          </cell>
          <cell r="AH8">
            <v>-4.47343100000001</v>
          </cell>
          <cell r="AI8">
            <v>-0.778295000000291</v>
          </cell>
        </row>
        <row r="9">
          <cell r="B9" t="str">
            <v>攀枝花</v>
          </cell>
          <cell r="C9">
            <v>3751.153653</v>
          </cell>
          <cell r="D9">
            <v>3751.153653</v>
          </cell>
        </row>
        <row r="9">
          <cell r="F9">
            <v>0.503553928399957</v>
          </cell>
          <cell r="G9">
            <v>19</v>
          </cell>
          <cell r="H9">
            <v>1888.908158</v>
          </cell>
          <cell r="I9">
            <v>3044.315555</v>
          </cell>
          <cell r="J9">
            <v>3751.153653</v>
          </cell>
          <cell r="K9">
            <v>103.489358</v>
          </cell>
          <cell r="L9">
            <v>0.022751</v>
          </cell>
          <cell r="M9">
            <v>1.977942</v>
          </cell>
          <cell r="N9">
            <v>-156.638531</v>
          </cell>
          <cell r="O9">
            <v>-513.631267</v>
          </cell>
          <cell r="P9">
            <v>64.920365</v>
          </cell>
          <cell r="Q9">
            <v>0</v>
          </cell>
          <cell r="R9">
            <v>379.900466</v>
          </cell>
          <cell r="S9">
            <v>-328.196534000001</v>
          </cell>
          <cell r="T9">
            <v>0</v>
          </cell>
          <cell r="U9">
            <v>185.434732999999</v>
          </cell>
          <cell r="V9">
            <v>-513.631267</v>
          </cell>
          <cell r="W9">
            <v>0</v>
          </cell>
          <cell r="X9">
            <v>0</v>
          </cell>
          <cell r="Y9">
            <v>0</v>
          </cell>
          <cell r="Z9">
            <v>0</v>
          </cell>
          <cell r="AA9">
            <v>15.74652</v>
          </cell>
          <cell r="AB9">
            <v>-572.771196</v>
          </cell>
          <cell r="AC9">
            <v>6.936398</v>
          </cell>
          <cell r="AD9">
            <v>-579.707594</v>
          </cell>
          <cell r="AE9">
            <v>-1146.883943</v>
          </cell>
          <cell r="AF9">
            <v>-1112.116592</v>
          </cell>
          <cell r="AG9">
            <v>-34.767351</v>
          </cell>
          <cell r="AH9">
            <v>0</v>
          </cell>
          <cell r="AI9">
            <v>-128.102738</v>
          </cell>
        </row>
        <row r="10">
          <cell r="B10" t="str">
            <v>泸州</v>
          </cell>
          <cell r="C10">
            <v>13817.15224</v>
          </cell>
          <cell r="D10">
            <v>13817.15224</v>
          </cell>
        </row>
        <row r="10">
          <cell r="F10">
            <v>0.814649814627794</v>
          </cell>
          <cell r="G10">
            <v>11</v>
          </cell>
          <cell r="H10">
            <v>11256.140511</v>
          </cell>
          <cell r="I10">
            <v>13021.094552</v>
          </cell>
          <cell r="J10">
            <v>13817.15224</v>
          </cell>
          <cell r="K10">
            <v>310.217361</v>
          </cell>
          <cell r="L10">
            <v>0</v>
          </cell>
          <cell r="M10">
            <v>41.401091</v>
          </cell>
          <cell r="N10">
            <v>-968.049711</v>
          </cell>
          <cell r="O10">
            <v>432.511858</v>
          </cell>
          <cell r="P10">
            <v>15.020498</v>
          </cell>
          <cell r="Q10">
            <v>6.724063</v>
          </cell>
          <cell r="R10">
            <v>1329.398475</v>
          </cell>
          <cell r="S10">
            <v>-1328.246981</v>
          </cell>
          <cell r="T10">
            <v>0</v>
          </cell>
          <cell r="U10">
            <v>70.6910539999977</v>
          </cell>
          <cell r="V10">
            <v>-1398.938035</v>
          </cell>
          <cell r="W10">
            <v>0</v>
          </cell>
          <cell r="X10">
            <v>0</v>
          </cell>
          <cell r="Y10">
            <v>0</v>
          </cell>
          <cell r="Z10">
            <v>0</v>
          </cell>
          <cell r="AA10">
            <v>49.842961</v>
          </cell>
          <cell r="AB10">
            <v>-3980.679048</v>
          </cell>
          <cell r="AC10">
            <v>-25.902489</v>
          </cell>
          <cell r="AD10">
            <v>-3954.776559</v>
          </cell>
          <cell r="AE10">
            <v>-370.35706</v>
          </cell>
          <cell r="AF10">
            <v>-117.925411</v>
          </cell>
          <cell r="AG10">
            <v>-250.150948</v>
          </cell>
          <cell r="AH10">
            <v>-2.280701</v>
          </cell>
          <cell r="AI10">
            <v>-21.7204279999987</v>
          </cell>
        </row>
        <row r="11">
          <cell r="B11" t="str">
            <v>德阳</v>
          </cell>
          <cell r="C11">
            <v>8636.475192</v>
          </cell>
          <cell r="D11">
            <v>8636.475192</v>
          </cell>
        </row>
        <row r="11">
          <cell r="F11">
            <v>0.741694942623532</v>
          </cell>
          <cell r="G11">
            <v>15</v>
          </cell>
          <cell r="H11">
            <v>6405.629972</v>
          </cell>
          <cell r="I11">
            <v>7543.41105</v>
          </cell>
          <cell r="J11">
            <v>8636.475192</v>
          </cell>
          <cell r="K11">
            <v>218.16737</v>
          </cell>
          <cell r="L11">
            <v>0</v>
          </cell>
          <cell r="M11">
            <v>5.51573</v>
          </cell>
          <cell r="N11">
            <v>-881.70144</v>
          </cell>
          <cell r="O11">
            <v>0</v>
          </cell>
          <cell r="P11">
            <v>1.288938</v>
          </cell>
          <cell r="Q11">
            <v>0</v>
          </cell>
          <cell r="R11">
            <v>1052.80365</v>
          </cell>
          <cell r="S11">
            <v>784.926089999999</v>
          </cell>
          <cell r="T11">
            <v>327</v>
          </cell>
          <cell r="U11">
            <v>457.926089999999</v>
          </cell>
          <cell r="V11">
            <v>0</v>
          </cell>
          <cell r="W11">
            <v>0</v>
          </cell>
          <cell r="X11">
            <v>0</v>
          </cell>
          <cell r="Y11">
            <v>79.4695470000001</v>
          </cell>
          <cell r="Z11">
            <v>79.4695470000001</v>
          </cell>
          <cell r="AA11">
            <v>-3.04416600000001</v>
          </cell>
          <cell r="AB11">
            <v>-521.062148000002</v>
          </cell>
          <cell r="AC11">
            <v>36.313698</v>
          </cell>
          <cell r="AD11">
            <v>-557.375846000002</v>
          </cell>
          <cell r="AE11">
            <v>-793.003775</v>
          </cell>
          <cell r="AF11">
            <v>-771.903873</v>
          </cell>
          <cell r="AG11">
            <v>-21.099902</v>
          </cell>
          <cell r="AH11">
            <v>0</v>
          </cell>
          <cell r="AI11">
            <v>-94.6368809999987</v>
          </cell>
        </row>
        <row r="12">
          <cell r="B12" t="str">
            <v>绵阳</v>
          </cell>
          <cell r="C12">
            <v>14857.409529</v>
          </cell>
          <cell r="D12">
            <v>14857.409529</v>
          </cell>
        </row>
        <row r="12">
          <cell r="F12">
            <v>0.892365925979316</v>
          </cell>
          <cell r="G12">
            <v>7</v>
          </cell>
          <cell r="H12">
            <v>13258.246012</v>
          </cell>
          <cell r="I12">
            <v>13947.386753</v>
          </cell>
          <cell r="J12">
            <v>14857.409529</v>
          </cell>
          <cell r="K12">
            <v>391.016541</v>
          </cell>
          <cell r="L12">
            <v>0</v>
          </cell>
          <cell r="M12">
            <v>39.769473</v>
          </cell>
          <cell r="N12">
            <v>-592.041245</v>
          </cell>
          <cell r="O12">
            <v>5.814</v>
          </cell>
          <cell r="P12">
            <v>27.451537</v>
          </cell>
          <cell r="Q12">
            <v>0</v>
          </cell>
          <cell r="R12">
            <v>1480.91336</v>
          </cell>
          <cell r="S12">
            <v>696.423336999998</v>
          </cell>
          <cell r="T12">
            <v>4.690383</v>
          </cell>
          <cell r="U12">
            <v>940.918953999998</v>
          </cell>
          <cell r="V12">
            <v>-249.186</v>
          </cell>
          <cell r="W12">
            <v>0</v>
          </cell>
          <cell r="X12">
            <v>0</v>
          </cell>
          <cell r="Y12">
            <v>0</v>
          </cell>
          <cell r="Z12">
            <v>0</v>
          </cell>
          <cell r="AA12">
            <v>43.6923799999999</v>
          </cell>
          <cell r="AB12">
            <v>-928.757072000004</v>
          </cell>
          <cell r="AC12">
            <v>-47.175467</v>
          </cell>
          <cell r="AD12">
            <v>-881.581605000004</v>
          </cell>
          <cell r="AE12">
            <v>-3.38149100000046</v>
          </cell>
          <cell r="AF12">
            <v>64.7650569999997</v>
          </cell>
          <cell r="AG12">
            <v>-61.9245780000001</v>
          </cell>
          <cell r="AH12">
            <v>-6.22197</v>
          </cell>
          <cell r="AI12">
            <v>-497.799821000001</v>
          </cell>
        </row>
        <row r="13">
          <cell r="B13" t="str">
            <v>广元</v>
          </cell>
          <cell r="C13">
            <v>5323.443823</v>
          </cell>
          <cell r="D13">
            <v>5323.443823</v>
          </cell>
        </row>
        <row r="13">
          <cell r="F13">
            <v>0.823682495352971</v>
          </cell>
          <cell r="G13">
            <v>10</v>
          </cell>
          <cell r="H13">
            <v>4384.827492</v>
          </cell>
          <cell r="I13">
            <v>4603.778599</v>
          </cell>
          <cell r="J13">
            <v>5323.443823</v>
          </cell>
          <cell r="K13">
            <v>188.021496</v>
          </cell>
          <cell r="L13">
            <v>0</v>
          </cell>
          <cell r="M13">
            <v>35.189001</v>
          </cell>
          <cell r="N13">
            <v>-569.757959</v>
          </cell>
          <cell r="O13">
            <v>0</v>
          </cell>
          <cell r="P13">
            <v>2.92523</v>
          </cell>
          <cell r="Q13">
            <v>0</v>
          </cell>
          <cell r="R13">
            <v>545.353943999999</v>
          </cell>
          <cell r="S13">
            <v>-822.049414999998</v>
          </cell>
          <cell r="T13">
            <v>0</v>
          </cell>
          <cell r="U13">
            <v>-822.049414999998</v>
          </cell>
          <cell r="V13">
            <v>0</v>
          </cell>
          <cell r="W13">
            <v>0</v>
          </cell>
          <cell r="X13">
            <v>0</v>
          </cell>
          <cell r="Y13">
            <v>205.351372</v>
          </cell>
          <cell r="Z13">
            <v>205.351372</v>
          </cell>
          <cell r="AA13">
            <v>-5.071601</v>
          </cell>
          <cell r="AB13">
            <v>-1369.941715</v>
          </cell>
          <cell r="AC13">
            <v>-23.803887</v>
          </cell>
          <cell r="AD13">
            <v>-1346.137828</v>
          </cell>
          <cell r="AE13">
            <v>97.978484</v>
          </cell>
          <cell r="AF13">
            <v>190.389526</v>
          </cell>
          <cell r="AG13">
            <v>-84.979711</v>
          </cell>
          <cell r="AH13">
            <v>-7.43133100000001</v>
          </cell>
          <cell r="AI13">
            <v>-319.462836</v>
          </cell>
        </row>
        <row r="14">
          <cell r="B14" t="str">
            <v>遂宁</v>
          </cell>
          <cell r="C14">
            <v>5807.014965</v>
          </cell>
          <cell r="D14">
            <v>5807.014965</v>
          </cell>
        </row>
        <row r="14">
          <cell r="F14">
            <v>0.909865049056232</v>
          </cell>
          <cell r="G14">
            <v>4</v>
          </cell>
          <cell r="H14">
            <v>5283.599956</v>
          </cell>
          <cell r="I14">
            <v>5440.066702</v>
          </cell>
          <cell r="J14">
            <v>5807.014965</v>
          </cell>
          <cell r="K14">
            <v>169.209278</v>
          </cell>
          <cell r="L14">
            <v>0</v>
          </cell>
          <cell r="M14">
            <v>5.395951</v>
          </cell>
          <cell r="N14">
            <v>-251.269909</v>
          </cell>
          <cell r="O14">
            <v>0</v>
          </cell>
          <cell r="P14">
            <v>48.134973</v>
          </cell>
          <cell r="Q14">
            <v>0</v>
          </cell>
          <cell r="R14">
            <v>584.401455999999</v>
          </cell>
          <cell r="S14">
            <v>508.558573999999</v>
          </cell>
          <cell r="T14">
            <v>0</v>
          </cell>
          <cell r="U14">
            <v>508.558573999999</v>
          </cell>
          <cell r="V14">
            <v>0</v>
          </cell>
          <cell r="W14">
            <v>0</v>
          </cell>
          <cell r="X14">
            <v>0</v>
          </cell>
          <cell r="Y14">
            <v>0</v>
          </cell>
          <cell r="Z14">
            <v>0</v>
          </cell>
          <cell r="AA14">
            <v>-15.770468</v>
          </cell>
          <cell r="AB14">
            <v>-64.0901100000002</v>
          </cell>
          <cell r="AC14">
            <v>-11.777886</v>
          </cell>
          <cell r="AD14">
            <v>-52.3122240000002</v>
          </cell>
          <cell r="AE14">
            <v>-156.53474</v>
          </cell>
          <cell r="AF14">
            <v>-159.79448</v>
          </cell>
          <cell r="AG14">
            <v>3.25973999999999</v>
          </cell>
          <cell r="AH14">
            <v>0</v>
          </cell>
          <cell r="AI14">
            <v>-27.4552460000008</v>
          </cell>
        </row>
        <row r="15">
          <cell r="B15" t="str">
            <v>内江</v>
          </cell>
          <cell r="C15">
            <v>7171.860543</v>
          </cell>
          <cell r="D15">
            <v>7171.860543</v>
          </cell>
        </row>
        <row r="15">
          <cell r="F15">
            <v>0.939512741721754</v>
          </cell>
          <cell r="G15">
            <v>3</v>
          </cell>
          <cell r="H15">
            <v>6738.054362</v>
          </cell>
          <cell r="I15">
            <v>6910.689097</v>
          </cell>
          <cell r="J15">
            <v>7171.860543</v>
          </cell>
          <cell r="K15">
            <v>175.366012</v>
          </cell>
          <cell r="L15">
            <v>0</v>
          </cell>
          <cell r="M15">
            <v>9.48569</v>
          </cell>
          <cell r="N15">
            <v>-100.279155</v>
          </cell>
          <cell r="O15">
            <v>0</v>
          </cell>
          <cell r="P15">
            <v>4.988031</v>
          </cell>
          <cell r="Q15">
            <v>0</v>
          </cell>
          <cell r="R15">
            <v>755.726732999998</v>
          </cell>
          <cell r="S15">
            <v>918.376713</v>
          </cell>
          <cell r="T15">
            <v>0</v>
          </cell>
          <cell r="U15">
            <v>918.376713</v>
          </cell>
          <cell r="V15">
            <v>0</v>
          </cell>
          <cell r="W15">
            <v>0</v>
          </cell>
          <cell r="X15">
            <v>0</v>
          </cell>
          <cell r="Y15">
            <v>0</v>
          </cell>
          <cell r="Z15">
            <v>0</v>
          </cell>
          <cell r="AA15">
            <v>12.114682</v>
          </cell>
          <cell r="AB15">
            <v>-389.948780000002</v>
          </cell>
          <cell r="AC15">
            <v>78.744893</v>
          </cell>
          <cell r="AD15">
            <v>-468.693673000002</v>
          </cell>
          <cell r="AE15">
            <v>90.4154529999998</v>
          </cell>
          <cell r="AF15">
            <v>109.623412</v>
          </cell>
          <cell r="AG15">
            <v>-19.2079590000001</v>
          </cell>
          <cell r="AH15">
            <v>0</v>
          </cell>
          <cell r="AI15">
            <v>301.663254</v>
          </cell>
        </row>
        <row r="16">
          <cell r="B16" t="str">
            <v>乐山</v>
          </cell>
          <cell r="C16">
            <v>9752.150026</v>
          </cell>
          <cell r="D16">
            <v>9752.150026</v>
          </cell>
        </row>
        <row r="16">
          <cell r="F16">
            <v>0.896075408366569</v>
          </cell>
          <cell r="G16">
            <v>6</v>
          </cell>
          <cell r="H16">
            <v>8738.661817</v>
          </cell>
          <cell r="I16">
            <v>9011.214456</v>
          </cell>
          <cell r="J16">
            <v>9752.150026</v>
          </cell>
          <cell r="K16">
            <v>229.222967</v>
          </cell>
          <cell r="L16">
            <v>0</v>
          </cell>
          <cell r="M16">
            <v>90.698718</v>
          </cell>
          <cell r="N16">
            <v>-610.483522</v>
          </cell>
          <cell r="O16">
            <v>0</v>
          </cell>
          <cell r="P16">
            <v>-15.429272</v>
          </cell>
          <cell r="Q16">
            <v>-23.501473</v>
          </cell>
          <cell r="R16">
            <v>1337.014323</v>
          </cell>
          <cell r="S16">
            <v>1982.56823</v>
          </cell>
          <cell r="T16">
            <v>0</v>
          </cell>
          <cell r="U16">
            <v>1982.56823</v>
          </cell>
          <cell r="V16">
            <v>0</v>
          </cell>
          <cell r="W16">
            <v>0</v>
          </cell>
          <cell r="X16">
            <v>0</v>
          </cell>
          <cell r="Y16">
            <v>0</v>
          </cell>
          <cell r="Z16">
            <v>0</v>
          </cell>
          <cell r="AA16">
            <v>-3.97327600000007</v>
          </cell>
          <cell r="AB16">
            <v>-943.86035</v>
          </cell>
          <cell r="AC16">
            <v>22.099937</v>
          </cell>
          <cell r="AD16">
            <v>-965.960287</v>
          </cell>
          <cell r="AE16">
            <v>1021.411911</v>
          </cell>
          <cell r="AF16">
            <v>1091.406524</v>
          </cell>
          <cell r="AG16">
            <v>-48.293277</v>
          </cell>
          <cell r="AH16">
            <v>-21.701336</v>
          </cell>
          <cell r="AI16">
            <v>291.476430999999</v>
          </cell>
        </row>
        <row r="17">
          <cell r="B17" t="str">
            <v>南充</v>
          </cell>
          <cell r="C17">
            <v>14809.031648</v>
          </cell>
          <cell r="D17">
            <v>14809.031648</v>
          </cell>
        </row>
        <row r="17">
          <cell r="F17">
            <v>0.866224159614951</v>
          </cell>
          <cell r="G17">
            <v>8</v>
          </cell>
          <cell r="H17">
            <v>12827.940994</v>
          </cell>
          <cell r="I17">
            <v>13822.385102</v>
          </cell>
          <cell r="J17">
            <v>14809.031648</v>
          </cell>
          <cell r="K17">
            <v>375.134846</v>
          </cell>
          <cell r="L17">
            <v>0</v>
          </cell>
          <cell r="M17">
            <v>34.991066</v>
          </cell>
          <cell r="N17">
            <v>-752.617628</v>
          </cell>
          <cell r="O17">
            <v>198.467666</v>
          </cell>
          <cell r="P17">
            <v>-92.352804</v>
          </cell>
          <cell r="Q17">
            <v>0</v>
          </cell>
          <cell r="R17">
            <v>1527.422727</v>
          </cell>
          <cell r="S17">
            <v>1959.246214</v>
          </cell>
          <cell r="T17">
            <v>0</v>
          </cell>
          <cell r="U17">
            <v>1760.778548</v>
          </cell>
          <cell r="V17">
            <v>198.467666</v>
          </cell>
          <cell r="W17">
            <v>0</v>
          </cell>
          <cell r="X17">
            <v>0</v>
          </cell>
          <cell r="Y17">
            <v>0</v>
          </cell>
          <cell r="Z17">
            <v>0</v>
          </cell>
          <cell r="AA17">
            <v>8.52494399999976</v>
          </cell>
          <cell r="AB17">
            <v>-545.932360999995</v>
          </cell>
          <cell r="AC17">
            <v>23.953679</v>
          </cell>
          <cell r="AD17">
            <v>-569.886039999995</v>
          </cell>
          <cell r="AE17">
            <v>-397.139704000001</v>
          </cell>
          <cell r="AF17">
            <v>-370.218072000001</v>
          </cell>
          <cell r="AG17">
            <v>-26.384057</v>
          </cell>
          <cell r="AH17">
            <v>-0.537575</v>
          </cell>
          <cell r="AI17">
            <v>388.976388000008</v>
          </cell>
        </row>
        <row r="18">
          <cell r="B18" t="str">
            <v>眉山</v>
          </cell>
          <cell r="C18">
            <v>9205.600405</v>
          </cell>
          <cell r="D18">
            <v>9205.600405</v>
          </cell>
        </row>
        <row r="18">
          <cell r="F18">
            <v>0.792244883021294</v>
          </cell>
          <cell r="G18">
            <v>13</v>
          </cell>
          <cell r="H18">
            <v>7293.089816</v>
          </cell>
          <cell r="I18">
            <v>8654.11797</v>
          </cell>
          <cell r="J18">
            <v>9205.600405</v>
          </cell>
          <cell r="K18">
            <v>242.686265</v>
          </cell>
          <cell r="L18">
            <v>0</v>
          </cell>
          <cell r="M18">
            <v>106.292969</v>
          </cell>
          <cell r="N18">
            <v>-430.668975</v>
          </cell>
          <cell r="O18">
            <v>0.120632</v>
          </cell>
          <cell r="P18">
            <v>15.090915</v>
          </cell>
          <cell r="Q18">
            <v>-0.368289</v>
          </cell>
          <cell r="R18">
            <v>1299.307009</v>
          </cell>
          <cell r="S18">
            <v>684.093192999997</v>
          </cell>
          <cell r="T18">
            <v>0</v>
          </cell>
          <cell r="U18">
            <v>689.263438999997</v>
          </cell>
          <cell r="V18">
            <v>-5.170246</v>
          </cell>
          <cell r="W18">
            <v>0</v>
          </cell>
          <cell r="X18">
            <v>0</v>
          </cell>
          <cell r="Y18">
            <v>0</v>
          </cell>
          <cell r="Z18">
            <v>0</v>
          </cell>
          <cell r="AA18">
            <v>62.4664229999998</v>
          </cell>
          <cell r="AB18">
            <v>-1317.860912</v>
          </cell>
          <cell r="AC18">
            <v>-11.212418</v>
          </cell>
          <cell r="AD18">
            <v>-1306.648494</v>
          </cell>
          <cell r="AE18">
            <v>-626.435334</v>
          </cell>
          <cell r="AF18">
            <v>-574.743923</v>
          </cell>
          <cell r="AG18">
            <v>-51.691411</v>
          </cell>
          <cell r="AH18">
            <v>0</v>
          </cell>
          <cell r="AI18">
            <v>30.5206989999995</v>
          </cell>
        </row>
        <row r="19">
          <cell r="B19" t="str">
            <v>宜宾</v>
          </cell>
          <cell r="C19">
            <v>11817.841404</v>
          </cell>
          <cell r="D19">
            <v>11817.841404</v>
          </cell>
        </row>
        <row r="19">
          <cell r="F19">
            <v>0.904146089858967</v>
          </cell>
          <cell r="G19">
            <v>5</v>
          </cell>
          <cell r="H19">
            <v>10685.055096</v>
          </cell>
          <cell r="I19">
            <v>10495.247904</v>
          </cell>
          <cell r="J19">
            <v>11817.841404</v>
          </cell>
          <cell r="K19">
            <v>323.548574</v>
          </cell>
          <cell r="L19">
            <v>0</v>
          </cell>
          <cell r="M19">
            <v>81.175283</v>
          </cell>
          <cell r="N19">
            <v>-1086.22037</v>
          </cell>
          <cell r="O19">
            <v>-5.553157</v>
          </cell>
          <cell r="P19">
            <v>11.553324</v>
          </cell>
          <cell r="Q19">
            <v>6e-6</v>
          </cell>
          <cell r="R19">
            <v>1239.951021</v>
          </cell>
          <cell r="S19">
            <v>426.304791000002</v>
          </cell>
          <cell r="T19">
            <v>0</v>
          </cell>
          <cell r="U19">
            <v>431.857948000002</v>
          </cell>
          <cell r="V19">
            <v>-5.55315699999998</v>
          </cell>
          <cell r="W19">
            <v>0</v>
          </cell>
          <cell r="X19">
            <v>0</v>
          </cell>
          <cell r="Y19">
            <v>213.554762</v>
          </cell>
          <cell r="Z19">
            <v>213.554762</v>
          </cell>
          <cell r="AA19">
            <v>22.1827319999998</v>
          </cell>
          <cell r="AB19">
            <v>-319.345334</v>
          </cell>
          <cell r="AC19">
            <v>-35.398747</v>
          </cell>
          <cell r="AD19">
            <v>-283.946587</v>
          </cell>
          <cell r="AE19">
            <v>-309.185897</v>
          </cell>
          <cell r="AF19">
            <v>-295.466352</v>
          </cell>
          <cell r="AG19">
            <v>-4.85947199999997</v>
          </cell>
          <cell r="AH19">
            <v>-8.860073</v>
          </cell>
          <cell r="AI19">
            <v>26.874925000003</v>
          </cell>
        </row>
        <row r="20">
          <cell r="B20" t="str">
            <v>广安</v>
          </cell>
          <cell r="C20">
            <v>6820.059066</v>
          </cell>
          <cell r="D20">
            <v>6820.059066</v>
          </cell>
        </row>
        <row r="20">
          <cell r="F20">
            <v>0.78041789762998</v>
          </cell>
          <cell r="G20">
            <v>14</v>
          </cell>
          <cell r="H20">
            <v>5322.496158</v>
          </cell>
          <cell r="I20">
            <v>6864.493063</v>
          </cell>
          <cell r="J20">
            <v>6820.059066</v>
          </cell>
          <cell r="K20">
            <v>168.583491</v>
          </cell>
          <cell r="L20">
            <v>0</v>
          </cell>
          <cell r="M20">
            <v>0</v>
          </cell>
          <cell r="N20">
            <v>209.140513</v>
          </cell>
          <cell r="O20">
            <v>0</v>
          </cell>
          <cell r="P20">
            <v>3.876975</v>
          </cell>
          <cell r="Q20">
            <v>0</v>
          </cell>
          <cell r="R20">
            <v>698.867273000001</v>
          </cell>
          <cell r="S20">
            <v>1345.442837</v>
          </cell>
          <cell r="T20">
            <v>0</v>
          </cell>
          <cell r="U20">
            <v>1345.442837</v>
          </cell>
          <cell r="V20">
            <v>0</v>
          </cell>
          <cell r="W20">
            <v>0</v>
          </cell>
          <cell r="X20">
            <v>0</v>
          </cell>
          <cell r="Y20">
            <v>0</v>
          </cell>
          <cell r="Z20">
            <v>0</v>
          </cell>
          <cell r="AA20">
            <v>44.386543</v>
          </cell>
          <cell r="AB20">
            <v>-141.440932000001</v>
          </cell>
          <cell r="AC20">
            <v>-10.682978</v>
          </cell>
          <cell r="AD20">
            <v>-130.757954000001</v>
          </cell>
          <cell r="AE20">
            <v>-723.20768</v>
          </cell>
          <cell r="AF20">
            <v>-717.816287</v>
          </cell>
          <cell r="AG20">
            <v>-5.39139299999997</v>
          </cell>
          <cell r="AH20">
            <v>0</v>
          </cell>
          <cell r="AI20">
            <v>13.6138140000023</v>
          </cell>
        </row>
        <row r="21">
          <cell r="B21" t="str">
            <v>达州</v>
          </cell>
          <cell r="C21">
            <v>9394.042559</v>
          </cell>
          <cell r="D21">
            <v>9394.042559</v>
          </cell>
        </row>
        <row r="21">
          <cell r="F21">
            <v>0.954927515354468</v>
          </cell>
          <cell r="G21">
            <v>2</v>
          </cell>
          <cell r="H21">
            <v>8970.62972</v>
          </cell>
          <cell r="I21">
            <v>8709.92519</v>
          </cell>
          <cell r="J21">
            <v>9394.042559</v>
          </cell>
          <cell r="K21">
            <v>267.769978</v>
          </cell>
          <cell r="L21">
            <v>0</v>
          </cell>
          <cell r="M21">
            <v>8.887733</v>
          </cell>
          <cell r="N21">
            <v>-440.546928</v>
          </cell>
          <cell r="O21">
            <v>0</v>
          </cell>
          <cell r="P21">
            <v>17.791409</v>
          </cell>
          <cell r="Q21">
            <v>2.479605</v>
          </cell>
          <cell r="R21">
            <v>935.782150999999</v>
          </cell>
          <cell r="S21">
            <v>255.720867999997</v>
          </cell>
          <cell r="T21">
            <v>0</v>
          </cell>
          <cell r="U21">
            <v>255.720867999997</v>
          </cell>
          <cell r="V21">
            <v>0</v>
          </cell>
          <cell r="W21">
            <v>0</v>
          </cell>
          <cell r="X21">
            <v>0</v>
          </cell>
          <cell r="Y21">
            <v>0</v>
          </cell>
          <cell r="Z21">
            <v>0</v>
          </cell>
          <cell r="AA21">
            <v>-1</v>
          </cell>
          <cell r="AB21">
            <v>-330.667114999999</v>
          </cell>
          <cell r="AC21">
            <v>46.368834</v>
          </cell>
          <cell r="AD21">
            <v>-377.035948999999</v>
          </cell>
          <cell r="AE21">
            <v>-134.573634</v>
          </cell>
          <cell r="AF21">
            <v>-123.585233</v>
          </cell>
          <cell r="AG21">
            <v>-10.9884010000001</v>
          </cell>
          <cell r="AH21">
            <v>0</v>
          </cell>
          <cell r="AI21">
            <v>44.8839959999993</v>
          </cell>
        </row>
        <row r="22">
          <cell r="B22" t="str">
            <v>雅安</v>
          </cell>
          <cell r="C22">
            <v>4741.153035</v>
          </cell>
          <cell r="D22">
            <v>4741.153035</v>
          </cell>
        </row>
        <row r="22">
          <cell r="F22">
            <v>0.684683724409668</v>
          </cell>
          <cell r="G22">
            <v>16</v>
          </cell>
          <cell r="H22">
            <v>3246.190318</v>
          </cell>
          <cell r="I22">
            <v>4650.775536</v>
          </cell>
          <cell r="J22">
            <v>4741.153035</v>
          </cell>
          <cell r="K22">
            <v>111.959563</v>
          </cell>
          <cell r="L22">
            <v>0</v>
          </cell>
          <cell r="M22">
            <v>43.238058</v>
          </cell>
          <cell r="N22">
            <v>-27.256656</v>
          </cell>
          <cell r="O22">
            <v>0</v>
          </cell>
          <cell r="P22">
            <v>5.600662</v>
          </cell>
          <cell r="Q22">
            <v>0</v>
          </cell>
          <cell r="R22">
            <v>543.985514</v>
          </cell>
          <cell r="S22">
            <v>275.41603</v>
          </cell>
          <cell r="T22">
            <v>0</v>
          </cell>
          <cell r="U22">
            <v>275.41603</v>
          </cell>
          <cell r="V22">
            <v>0</v>
          </cell>
          <cell r="W22">
            <v>0</v>
          </cell>
          <cell r="X22">
            <v>0</v>
          </cell>
          <cell r="Y22">
            <v>0</v>
          </cell>
          <cell r="Z22">
            <v>0</v>
          </cell>
          <cell r="AA22">
            <v>6.92477200000002</v>
          </cell>
          <cell r="AB22">
            <v>-1007.494985</v>
          </cell>
          <cell r="AC22">
            <v>-2.230222</v>
          </cell>
          <cell r="AD22">
            <v>-1005.264763</v>
          </cell>
          <cell r="AE22">
            <v>-779.207079</v>
          </cell>
          <cell r="AF22">
            <v>-710.596091</v>
          </cell>
          <cell r="AG22">
            <v>-60.194347</v>
          </cell>
          <cell r="AH22">
            <v>-8.416641</v>
          </cell>
          <cell r="AI22">
            <v>120.472134000001</v>
          </cell>
        </row>
        <row r="23">
          <cell r="B23" t="str">
            <v>巴中</v>
          </cell>
          <cell r="C23">
            <v>6362.646798</v>
          </cell>
          <cell r="D23">
            <v>6362.646798</v>
          </cell>
        </row>
        <row r="23">
          <cell r="F23">
            <v>0.975451018112604</v>
          </cell>
          <cell r="G23">
            <v>1</v>
          </cell>
          <cell r="H23">
            <v>6206.450297</v>
          </cell>
          <cell r="I23">
            <v>6376.610101</v>
          </cell>
          <cell r="J23">
            <v>6362.646798</v>
          </cell>
          <cell r="K23">
            <v>207.747101</v>
          </cell>
          <cell r="L23">
            <v>0</v>
          </cell>
          <cell r="M23">
            <v>427.195168</v>
          </cell>
          <cell r="N23">
            <v>-246.655524</v>
          </cell>
          <cell r="O23">
            <v>0</v>
          </cell>
          <cell r="P23">
            <v>41.17076</v>
          </cell>
          <cell r="Q23">
            <v>0</v>
          </cell>
          <cell r="R23">
            <v>684.460005</v>
          </cell>
          <cell r="S23">
            <v>649.960401000002</v>
          </cell>
          <cell r="T23">
            <v>0</v>
          </cell>
          <cell r="U23">
            <v>649.960401000002</v>
          </cell>
          <cell r="V23">
            <v>0</v>
          </cell>
          <cell r="W23">
            <v>0</v>
          </cell>
          <cell r="X23">
            <v>0</v>
          </cell>
          <cell r="Y23">
            <v>0</v>
          </cell>
          <cell r="Z23">
            <v>0</v>
          </cell>
          <cell r="AA23">
            <v>3.32696499999994</v>
          </cell>
          <cell r="AB23">
            <v>-385.711412999999</v>
          </cell>
          <cell r="AC23">
            <v>9.6244</v>
          </cell>
          <cell r="AD23">
            <v>-395.335812999999</v>
          </cell>
          <cell r="AE23">
            <v>224.435183000001</v>
          </cell>
          <cell r="AF23">
            <v>248.249679</v>
          </cell>
          <cell r="AG23">
            <v>-9.35904400000004</v>
          </cell>
          <cell r="AH23">
            <v>-14.4554519999996</v>
          </cell>
          <cell r="AI23">
            <v>-40.0562129999996</v>
          </cell>
        </row>
        <row r="24">
          <cell r="B24" t="str">
            <v>资阳</v>
          </cell>
          <cell r="C24">
            <v>5317.728561</v>
          </cell>
          <cell r="D24">
            <v>5317.728561</v>
          </cell>
        </row>
        <row r="24">
          <cell r="F24">
            <v>0.84720967069308</v>
          </cell>
          <cell r="G24">
            <v>9</v>
          </cell>
          <cell r="H24">
            <v>4505.231063</v>
          </cell>
          <cell r="I24">
            <v>4952.51648</v>
          </cell>
          <cell r="J24">
            <v>5317.728561</v>
          </cell>
          <cell r="K24">
            <v>203.740532</v>
          </cell>
          <cell r="L24">
            <v>0</v>
          </cell>
          <cell r="M24">
            <v>5.078734</v>
          </cell>
          <cell r="N24">
            <v>-204.98615</v>
          </cell>
          <cell r="O24">
            <v>0</v>
          </cell>
          <cell r="P24">
            <v>38.435867</v>
          </cell>
          <cell r="Q24">
            <v>0</v>
          </cell>
          <cell r="R24">
            <v>489.844111999999</v>
          </cell>
          <cell r="S24">
            <v>449.423529</v>
          </cell>
          <cell r="T24">
            <v>0</v>
          </cell>
          <cell r="U24">
            <v>449.423529</v>
          </cell>
          <cell r="V24">
            <v>0</v>
          </cell>
          <cell r="W24">
            <v>0</v>
          </cell>
          <cell r="X24">
            <v>0</v>
          </cell>
          <cell r="Y24">
            <v>0</v>
          </cell>
          <cell r="Z24">
            <v>0</v>
          </cell>
          <cell r="AA24">
            <v>-20.926726</v>
          </cell>
          <cell r="AB24">
            <v>-259.929828</v>
          </cell>
          <cell r="AC24">
            <v>10.487856</v>
          </cell>
          <cell r="AD24">
            <v>-270.417684</v>
          </cell>
          <cell r="AE24">
            <v>-274.176954</v>
          </cell>
          <cell r="AF24">
            <v>-261.166648</v>
          </cell>
          <cell r="AG24">
            <v>-13.0103060000001</v>
          </cell>
          <cell r="AH24">
            <v>0</v>
          </cell>
          <cell r="AI24">
            <v>25.4740560000002</v>
          </cell>
        </row>
        <row r="25">
          <cell r="B25" t="str">
            <v>阿坝</v>
          </cell>
          <cell r="C25">
            <v>3725.406479</v>
          </cell>
          <cell r="D25">
            <v>3725.406479</v>
          </cell>
        </row>
        <row r="25">
          <cell r="F25">
            <v>0.134671744097753</v>
          </cell>
          <cell r="G25">
            <v>21</v>
          </cell>
          <cell r="H25">
            <v>501.706987999999</v>
          </cell>
          <cell r="I25">
            <v>3859.89857</v>
          </cell>
          <cell r="J25">
            <v>3725.406479</v>
          </cell>
          <cell r="K25">
            <v>67.001437</v>
          </cell>
          <cell r="L25">
            <v>0</v>
          </cell>
          <cell r="M25">
            <v>459.622933</v>
          </cell>
          <cell r="N25">
            <v>-260.725468</v>
          </cell>
          <cell r="O25">
            <v>0</v>
          </cell>
          <cell r="P25">
            <v>2.596063</v>
          </cell>
          <cell r="Q25">
            <v>0</v>
          </cell>
          <cell r="R25">
            <v>376.569463</v>
          </cell>
          <cell r="S25">
            <v>589.4039</v>
          </cell>
          <cell r="T25">
            <v>0</v>
          </cell>
          <cell r="U25">
            <v>589.4039</v>
          </cell>
          <cell r="V25">
            <v>0</v>
          </cell>
          <cell r="W25">
            <v>0</v>
          </cell>
          <cell r="X25">
            <v>0</v>
          </cell>
          <cell r="Y25">
            <v>0</v>
          </cell>
          <cell r="Z25">
            <v>0</v>
          </cell>
          <cell r="AA25">
            <v>5.932</v>
          </cell>
          <cell r="AB25">
            <v>-853.714247999999</v>
          </cell>
          <cell r="AC25">
            <v>0.493126000000071</v>
          </cell>
          <cell r="AD25">
            <v>-854.207374</v>
          </cell>
          <cell r="AE25">
            <v>-2260.718658</v>
          </cell>
          <cell r="AF25">
            <v>-2206.594107</v>
          </cell>
          <cell r="AG25">
            <v>-54.124551</v>
          </cell>
          <cell r="AH25">
            <v>0</v>
          </cell>
          <cell r="AI25">
            <v>-24.9922390000008</v>
          </cell>
        </row>
        <row r="26">
          <cell r="B26" t="str">
            <v>甘孜</v>
          </cell>
          <cell r="C26">
            <v>4591.04741</v>
          </cell>
          <cell r="D26">
            <v>4591.04741</v>
          </cell>
        </row>
        <row r="26">
          <cell r="F26">
            <v>0.502730054795928</v>
          </cell>
          <cell r="G26">
            <v>20</v>
          </cell>
          <cell r="H26">
            <v>2308.057516</v>
          </cell>
          <cell r="I26">
            <v>4267.109948</v>
          </cell>
          <cell r="J26">
            <v>4591.04741</v>
          </cell>
          <cell r="K26">
            <v>89.152571</v>
          </cell>
          <cell r="L26">
            <v>0</v>
          </cell>
          <cell r="M26">
            <v>150.1</v>
          </cell>
          <cell r="N26">
            <v>-387.159699</v>
          </cell>
          <cell r="O26">
            <v>0</v>
          </cell>
          <cell r="P26">
            <v>2.274808</v>
          </cell>
          <cell r="Q26">
            <v>0</v>
          </cell>
          <cell r="R26">
            <v>432.887096</v>
          </cell>
          <cell r="S26">
            <v>945.108263999998</v>
          </cell>
          <cell r="T26">
            <v>0</v>
          </cell>
          <cell r="U26">
            <v>945.108263999998</v>
          </cell>
          <cell r="V26">
            <v>0</v>
          </cell>
          <cell r="W26">
            <v>0</v>
          </cell>
          <cell r="X26">
            <v>0</v>
          </cell>
          <cell r="Y26">
            <v>0</v>
          </cell>
          <cell r="Z26">
            <v>0</v>
          </cell>
          <cell r="AA26">
            <v>-18.503742</v>
          </cell>
          <cell r="AB26">
            <v>-645.655111</v>
          </cell>
          <cell r="AC26">
            <v>7.596</v>
          </cell>
          <cell r="AD26">
            <v>-653.251111</v>
          </cell>
          <cell r="AE26">
            <v>-775.534242</v>
          </cell>
          <cell r="AF26">
            <v>-735.116044</v>
          </cell>
          <cell r="AG26">
            <v>-40.418198</v>
          </cell>
          <cell r="AH26">
            <v>0</v>
          </cell>
          <cell r="AI26">
            <v>-44.1456530000007</v>
          </cell>
        </row>
        <row r="27">
          <cell r="B27" t="str">
            <v>凉山</v>
          </cell>
          <cell r="C27">
            <v>11479.578025</v>
          </cell>
          <cell r="D27">
            <v>11479.578025</v>
          </cell>
        </row>
        <row r="27">
          <cell r="F27">
            <v>0.646869895463775</v>
          </cell>
          <cell r="G27">
            <v>17</v>
          </cell>
          <cell r="H27">
            <v>7425.793437</v>
          </cell>
          <cell r="I27">
            <v>10835.404351</v>
          </cell>
          <cell r="J27">
            <v>11479.578025</v>
          </cell>
          <cell r="K27">
            <v>300.973846</v>
          </cell>
          <cell r="L27">
            <v>0</v>
          </cell>
          <cell r="M27">
            <v>44.50736</v>
          </cell>
          <cell r="N27">
            <v>-624.175633</v>
          </cell>
          <cell r="O27">
            <v>226.32876</v>
          </cell>
          <cell r="P27">
            <v>10.139685</v>
          </cell>
          <cell r="Q27">
            <v>0</v>
          </cell>
          <cell r="R27">
            <v>1198.25911</v>
          </cell>
          <cell r="S27">
            <v>410.966579999997</v>
          </cell>
          <cell r="T27">
            <v>0</v>
          </cell>
          <cell r="U27">
            <v>184.637819999997</v>
          </cell>
          <cell r="V27">
            <v>226.32876</v>
          </cell>
          <cell r="W27">
            <v>0</v>
          </cell>
          <cell r="X27">
            <v>0</v>
          </cell>
          <cell r="Y27">
            <v>0</v>
          </cell>
          <cell r="Z27">
            <v>0</v>
          </cell>
          <cell r="AA27">
            <v>10.980027</v>
          </cell>
          <cell r="AB27">
            <v>-2378.899362</v>
          </cell>
          <cell r="AC27">
            <v>-294.942722</v>
          </cell>
          <cell r="AD27">
            <v>-2083.95664</v>
          </cell>
          <cell r="AE27">
            <v>-1161.988403</v>
          </cell>
          <cell r="AF27">
            <v>-1035.270774</v>
          </cell>
          <cell r="AG27">
            <v>-126.606398</v>
          </cell>
          <cell r="AH27">
            <v>-0.111230999999866</v>
          </cell>
          <cell r="AI27">
            <v>-645.035652000001</v>
          </cell>
        </row>
        <row r="28">
          <cell r="B28" t="str">
            <v>市州合计</v>
          </cell>
          <cell r="C28">
            <v>253159.149763</v>
          </cell>
          <cell r="D28">
            <v>253159.149763</v>
          </cell>
        </row>
        <row r="28">
          <cell r="F28">
            <v>0.803849452391953</v>
          </cell>
        </row>
        <row r="28">
          <cell r="H28">
            <v>203501.843905</v>
          </cell>
          <cell r="I28">
            <v>239395.916583</v>
          </cell>
          <cell r="J28">
            <v>253159.149763</v>
          </cell>
          <cell r="K28">
            <v>6446.82249</v>
          </cell>
          <cell r="L28">
            <v>0.05509</v>
          </cell>
          <cell r="M28">
            <v>1841.577497</v>
          </cell>
          <cell r="N28">
            <v>-9799.050078</v>
          </cell>
          <cell r="O28">
            <v>344.058492</v>
          </cell>
          <cell r="P28">
            <v>282.282221</v>
          </cell>
          <cell r="Q28">
            <v>-14.666088</v>
          </cell>
          <cell r="R28">
            <v>26581.241844</v>
          </cell>
          <cell r="S28">
            <v>25382.883343</v>
          </cell>
          <cell r="T28">
            <v>331.690383</v>
          </cell>
          <cell r="U28">
            <v>26798.875239</v>
          </cell>
          <cell r="V28">
            <v>-1747.682279</v>
          </cell>
          <cell r="W28">
            <v>0</v>
          </cell>
          <cell r="X28">
            <v>4.65738558830253e-14</v>
          </cell>
          <cell r="Y28">
            <v>498.807012</v>
          </cell>
          <cell r="Z28">
            <v>498.807012</v>
          </cell>
          <cell r="AA28">
            <v>189.903048999999</v>
          </cell>
          <cell r="AB28">
            <v>-20289.589474</v>
          </cell>
          <cell r="AC28">
            <v>-314.774892</v>
          </cell>
          <cell r="AD28">
            <v>-19974.814582</v>
          </cell>
          <cell r="AE28">
            <v>-14798.083504</v>
          </cell>
          <cell r="AF28">
            <v>-13660.715674</v>
          </cell>
          <cell r="AG28">
            <v>-1062.878089</v>
          </cell>
          <cell r="AH28">
            <v>-74.4897409999995</v>
          </cell>
          <cell r="AI28">
            <v>-1814.85515199998</v>
          </cell>
        </row>
      </sheetData>
      <sheetData sheetId="1"/>
    </sheetDataSet>
  </externalBook>
</externalLink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P28"/>
  <sheetViews>
    <sheetView tabSelected="1" zoomScale="70" zoomScaleNormal="70" workbookViewId="0">
      <pane xSplit="6" topLeftCell="AR1" activePane="topRight" state="frozen"/>
      <selection/>
      <selection pane="topRight" activeCell="BM5" sqref="BM5:BO26"/>
    </sheetView>
  </sheetViews>
  <sheetFormatPr defaultColWidth="9" defaultRowHeight="14.4"/>
  <cols>
    <col min="1" max="1" width="6.22222222222222" style="3" customWidth="1"/>
    <col min="2" max="2" width="9.44444444444444" style="3" customWidth="1"/>
    <col min="3" max="3" width="12.7777777777778" style="3" customWidth="1"/>
    <col min="4" max="4" width="13.5555555555556" style="3" customWidth="1"/>
    <col min="5" max="6" width="11.6666666666667" style="3" customWidth="1"/>
    <col min="7" max="8" width="13" style="3" customWidth="1"/>
    <col min="9" max="10" width="9.55555555555556" style="3" customWidth="1"/>
    <col min="11" max="13" width="12.4444444444444" style="3" customWidth="1"/>
    <col min="14" max="14" width="9.88888888888889" style="3" customWidth="1"/>
    <col min="15" max="15" width="12.4444444444444" style="3" customWidth="1"/>
    <col min="16" max="16" width="13.8888888888889" style="3" customWidth="1"/>
    <col min="17" max="17" width="12.8888888888889" style="3" customWidth="1"/>
    <col min="18" max="18" width="11.8888888888889" style="3" customWidth="1"/>
    <col min="19" max="20" width="9" style="3" customWidth="1"/>
    <col min="21" max="21" width="6.88888888888889" style="3" customWidth="1"/>
    <col min="22" max="22" width="10.4444444444444" style="3" customWidth="1"/>
    <col min="23" max="24" width="10.4444444444444" style="4" customWidth="1"/>
    <col min="25" max="25" width="12.1111111111111" style="3" customWidth="1"/>
    <col min="26" max="27" width="10.4444444444444" style="3" customWidth="1"/>
    <col min="28" max="28" width="6.77777777777778" style="3" customWidth="1"/>
    <col min="29" max="29" width="10.4444444444444" style="3" customWidth="1"/>
    <col min="30" max="30" width="8.22222222222222" style="1" customWidth="1"/>
    <col min="31" max="31" width="10.4444444444444" style="3" customWidth="1"/>
    <col min="32" max="32" width="10.7777777777778" style="3" customWidth="1"/>
    <col min="33" max="36" width="9" style="3" customWidth="1"/>
    <col min="37" max="37" width="14.3333333333333" style="3" customWidth="1"/>
    <col min="38" max="38" width="13.5555555555556" style="3" customWidth="1"/>
    <col min="39" max="39" width="9.44444444444444" style="3" customWidth="1"/>
    <col min="40" max="41" width="9" style="3" customWidth="1"/>
    <col min="42" max="42" width="11.5555555555556" style="3" customWidth="1"/>
    <col min="43" max="58" width="10.6666666666667" style="3" customWidth="1"/>
    <col min="59" max="62" width="10.6666666666667" style="1" customWidth="1"/>
    <col min="63" max="63" width="9" style="3" customWidth="1"/>
    <col min="64" max="64" width="12.1111111111111" style="3" customWidth="1"/>
    <col min="65" max="65" width="13.7777777777778" style="3" customWidth="1"/>
    <col min="66" max="66" width="13.4444444444444" style="3" customWidth="1"/>
    <col min="67" max="67" width="13.8888888888889" style="3" customWidth="1"/>
    <col min="68" max="16384" width="9" style="3"/>
  </cols>
  <sheetData>
    <row r="1" ht="36" customHeight="1" spans="1:68">
      <c r="A1" s="5" t="s">
        <v>0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  <c r="AK1" s="5"/>
      <c r="AL1" s="5"/>
      <c r="AM1" s="5"/>
      <c r="AN1" s="5"/>
      <c r="AO1" s="5"/>
      <c r="AP1" s="5"/>
      <c r="AQ1" s="5"/>
      <c r="AR1" s="5"/>
      <c r="AS1" s="5"/>
      <c r="AT1" s="5"/>
      <c r="AU1" s="5"/>
      <c r="AV1" s="5"/>
      <c r="AW1" s="5"/>
      <c r="AX1" s="5"/>
      <c r="AY1" s="5"/>
      <c r="AZ1" s="5"/>
      <c r="BA1" s="5"/>
      <c r="BB1" s="5"/>
      <c r="BC1" s="5"/>
      <c r="BD1" s="5"/>
      <c r="BE1" s="5"/>
      <c r="BF1" s="5"/>
      <c r="BG1" s="5"/>
      <c r="BH1" s="5"/>
      <c r="BI1" s="5"/>
      <c r="BJ1" s="5"/>
      <c r="BK1" s="5"/>
      <c r="BL1" s="5"/>
      <c r="BM1" s="5"/>
      <c r="BN1" s="5"/>
      <c r="BO1" s="5"/>
      <c r="BP1" s="5"/>
    </row>
    <row r="2" ht="61.2" customHeight="1" spans="1:68">
      <c r="A2" s="6" t="s">
        <v>1</v>
      </c>
      <c r="B2" s="6" t="s">
        <v>2</v>
      </c>
      <c r="C2" s="6" t="s">
        <v>3</v>
      </c>
      <c r="D2" s="6"/>
      <c r="E2" s="7" t="s">
        <v>4</v>
      </c>
      <c r="F2" s="8"/>
      <c r="G2" s="8"/>
      <c r="H2" s="9"/>
      <c r="I2" s="18" t="s">
        <v>5</v>
      </c>
      <c r="J2" s="18"/>
      <c r="K2" s="18"/>
      <c r="L2" s="18"/>
      <c r="M2" s="18"/>
      <c r="N2" s="18"/>
      <c r="O2" s="18"/>
      <c r="P2" s="19" t="s">
        <v>6</v>
      </c>
      <c r="Q2" s="19"/>
      <c r="R2" s="19"/>
      <c r="S2" s="19"/>
      <c r="T2" s="19"/>
      <c r="U2" s="19"/>
      <c r="V2" s="19"/>
      <c r="W2" s="27" t="s">
        <v>7</v>
      </c>
      <c r="X2" s="28"/>
      <c r="Y2" s="28"/>
      <c r="Z2" s="28"/>
      <c r="AA2" s="28"/>
      <c r="AB2" s="28"/>
      <c r="AC2" s="28"/>
      <c r="AD2" s="34"/>
      <c r="AE2" s="19" t="s">
        <v>8</v>
      </c>
      <c r="AF2" s="19"/>
      <c r="AG2" s="19"/>
      <c r="AH2" s="19"/>
      <c r="AI2" s="19"/>
      <c r="AJ2" s="19"/>
      <c r="AK2" s="19"/>
      <c r="AL2" s="40" t="s">
        <v>9</v>
      </c>
      <c r="AM2" s="41"/>
      <c r="AN2" s="41"/>
      <c r="AO2" s="41"/>
      <c r="AP2" s="41"/>
      <c r="AQ2" s="41"/>
      <c r="AR2" s="42"/>
      <c r="AS2" s="43" t="s">
        <v>10</v>
      </c>
      <c r="AT2" s="44"/>
      <c r="AU2" s="44"/>
      <c r="AV2" s="44"/>
      <c r="AW2" s="44"/>
      <c r="AX2" s="50"/>
      <c r="AY2" s="19" t="s">
        <v>11</v>
      </c>
      <c r="AZ2" s="19"/>
      <c r="BA2" s="19"/>
      <c r="BB2" s="19"/>
      <c r="BC2" s="19"/>
      <c r="BD2" s="19"/>
      <c r="BE2" s="19"/>
      <c r="BF2" s="19" t="s">
        <v>12</v>
      </c>
      <c r="BG2" s="19"/>
      <c r="BH2" s="19"/>
      <c r="BI2" s="19"/>
      <c r="BJ2" s="19"/>
      <c r="BK2" s="19"/>
      <c r="BL2" s="19" t="s">
        <v>13</v>
      </c>
      <c r="BM2" s="19"/>
      <c r="BN2" s="19"/>
      <c r="BO2" s="19"/>
      <c r="BP2" s="19"/>
    </row>
    <row r="3" ht="14.55" customHeight="1" spans="1:68">
      <c r="A3" s="6"/>
      <c r="B3" s="6"/>
      <c r="C3" s="6" t="s">
        <v>14</v>
      </c>
      <c r="D3" s="6" t="s">
        <v>15</v>
      </c>
      <c r="E3" s="6" t="s">
        <v>16</v>
      </c>
      <c r="F3" s="6" t="s">
        <v>17</v>
      </c>
      <c r="G3" s="6" t="s">
        <v>18</v>
      </c>
      <c r="H3" s="6" t="s">
        <v>19</v>
      </c>
      <c r="I3" s="20" t="s">
        <v>20</v>
      </c>
      <c r="J3" s="20" t="s">
        <v>21</v>
      </c>
      <c r="K3" s="21" t="s">
        <v>22</v>
      </c>
      <c r="L3" s="21" t="s">
        <v>23</v>
      </c>
      <c r="M3" s="21" t="s">
        <v>24</v>
      </c>
      <c r="N3" s="22" t="s">
        <v>25</v>
      </c>
      <c r="O3" s="21" t="s">
        <v>26</v>
      </c>
      <c r="P3" s="20" t="s">
        <v>27</v>
      </c>
      <c r="Q3" s="20" t="s">
        <v>28</v>
      </c>
      <c r="R3" s="21" t="s">
        <v>29</v>
      </c>
      <c r="S3" s="21" t="s">
        <v>30</v>
      </c>
      <c r="T3" s="21" t="s">
        <v>31</v>
      </c>
      <c r="U3" s="22" t="s">
        <v>25</v>
      </c>
      <c r="V3" s="21" t="s">
        <v>32</v>
      </c>
      <c r="W3" s="29" t="s">
        <v>33</v>
      </c>
      <c r="X3" s="29" t="s">
        <v>34</v>
      </c>
      <c r="Y3" s="29" t="s">
        <v>35</v>
      </c>
      <c r="Z3" s="35" t="s">
        <v>36</v>
      </c>
      <c r="AA3" s="29" t="s">
        <v>37</v>
      </c>
      <c r="AB3" s="22" t="s">
        <v>25</v>
      </c>
      <c r="AC3" s="29" t="s">
        <v>38</v>
      </c>
      <c r="AD3" s="22" t="s">
        <v>25</v>
      </c>
      <c r="AE3" s="20" t="s">
        <v>39</v>
      </c>
      <c r="AF3" s="20" t="s">
        <v>40</v>
      </c>
      <c r="AG3" s="21" t="s">
        <v>41</v>
      </c>
      <c r="AH3" s="21" t="s">
        <v>42</v>
      </c>
      <c r="AI3" s="21" t="s">
        <v>43</v>
      </c>
      <c r="AJ3" s="22" t="s">
        <v>25</v>
      </c>
      <c r="AK3" s="21" t="s">
        <v>44</v>
      </c>
      <c r="AL3" s="20" t="s">
        <v>45</v>
      </c>
      <c r="AM3" s="20" t="s">
        <v>46</v>
      </c>
      <c r="AN3" s="21" t="s">
        <v>47</v>
      </c>
      <c r="AO3" s="22" t="s">
        <v>25</v>
      </c>
      <c r="AP3" s="21" t="s">
        <v>48</v>
      </c>
      <c r="AQ3" s="21" t="s">
        <v>49</v>
      </c>
      <c r="AR3" s="22" t="s">
        <v>25</v>
      </c>
      <c r="AS3" s="20" t="s">
        <v>50</v>
      </c>
      <c r="AT3" s="20" t="s">
        <v>51</v>
      </c>
      <c r="AU3" s="21" t="s">
        <v>52</v>
      </c>
      <c r="AV3" s="22" t="s">
        <v>25</v>
      </c>
      <c r="AW3" s="21" t="s">
        <v>53</v>
      </c>
      <c r="AX3" s="22" t="s">
        <v>25</v>
      </c>
      <c r="AY3" s="20" t="s">
        <v>54</v>
      </c>
      <c r="AZ3" s="20" t="s">
        <v>55</v>
      </c>
      <c r="BA3" s="51" t="s">
        <v>56</v>
      </c>
      <c r="BB3" s="21" t="s">
        <v>23</v>
      </c>
      <c r="BC3" s="21" t="s">
        <v>24</v>
      </c>
      <c r="BD3" s="22" t="s">
        <v>25</v>
      </c>
      <c r="BE3" s="21" t="s">
        <v>26</v>
      </c>
      <c r="BF3" s="20" t="s">
        <v>57</v>
      </c>
      <c r="BG3" s="20" t="s">
        <v>58</v>
      </c>
      <c r="BH3" s="21" t="s">
        <v>56</v>
      </c>
      <c r="BI3" s="21" t="s">
        <v>59</v>
      </c>
      <c r="BJ3" s="21" t="s">
        <v>60</v>
      </c>
      <c r="BK3" s="22" t="s">
        <v>25</v>
      </c>
      <c r="BL3" s="21" t="s">
        <v>61</v>
      </c>
      <c r="BM3" s="21" t="s">
        <v>62</v>
      </c>
      <c r="BN3" s="20" t="s">
        <v>63</v>
      </c>
      <c r="BO3" s="20" t="s">
        <v>64</v>
      </c>
      <c r="BP3" s="22" t="s">
        <v>25</v>
      </c>
    </row>
    <row r="4" ht="49.05" customHeight="1" spans="1:68">
      <c r="A4" s="6"/>
      <c r="B4" s="6"/>
      <c r="C4" s="6"/>
      <c r="D4" s="6"/>
      <c r="E4" s="6"/>
      <c r="F4" s="6"/>
      <c r="G4" s="6"/>
      <c r="H4" s="6"/>
      <c r="I4" s="20"/>
      <c r="J4" s="20"/>
      <c r="K4" s="21"/>
      <c r="L4" s="21"/>
      <c r="M4" s="21"/>
      <c r="N4" s="22"/>
      <c r="O4" s="21"/>
      <c r="P4" s="20"/>
      <c r="Q4" s="20"/>
      <c r="R4" s="21"/>
      <c r="S4" s="21"/>
      <c r="T4" s="21"/>
      <c r="U4" s="22"/>
      <c r="V4" s="21"/>
      <c r="W4" s="30"/>
      <c r="X4" s="30"/>
      <c r="Y4" s="30"/>
      <c r="Z4" s="36"/>
      <c r="AA4" s="30"/>
      <c r="AB4" s="22"/>
      <c r="AC4" s="30"/>
      <c r="AD4" s="22"/>
      <c r="AE4" s="20"/>
      <c r="AF4" s="20"/>
      <c r="AG4" s="21"/>
      <c r="AH4" s="21"/>
      <c r="AI4" s="21"/>
      <c r="AJ4" s="22"/>
      <c r="AK4" s="21"/>
      <c r="AL4" s="20"/>
      <c r="AM4" s="20"/>
      <c r="AN4" s="21"/>
      <c r="AO4" s="22"/>
      <c r="AP4" s="21"/>
      <c r="AQ4" s="21"/>
      <c r="AR4" s="22"/>
      <c r="AS4" s="20"/>
      <c r="AT4" s="20"/>
      <c r="AU4" s="21"/>
      <c r="AV4" s="22"/>
      <c r="AW4" s="21"/>
      <c r="AX4" s="22"/>
      <c r="AY4" s="20"/>
      <c r="AZ4" s="20"/>
      <c r="BA4" s="51"/>
      <c r="BB4" s="21"/>
      <c r="BC4" s="21"/>
      <c r="BD4" s="22"/>
      <c r="BE4" s="21"/>
      <c r="BF4" s="20"/>
      <c r="BG4" s="20"/>
      <c r="BH4" s="21"/>
      <c r="BI4" s="21"/>
      <c r="BJ4" s="21"/>
      <c r="BK4" s="22"/>
      <c r="BL4" s="21"/>
      <c r="BM4" s="21"/>
      <c r="BN4" s="20"/>
      <c r="BO4" s="20"/>
      <c r="BP4" s="22"/>
    </row>
    <row r="5" s="1" customFormat="1" ht="15" customHeight="1" spans="1:68">
      <c r="A5" s="10">
        <v>1</v>
      </c>
      <c r="B5" s="10" t="s">
        <v>65</v>
      </c>
      <c r="C5" s="11">
        <v>1035002.11179498</v>
      </c>
      <c r="D5" s="11">
        <v>180143.506828979</v>
      </c>
      <c r="E5" s="12">
        <v>1059462.06544745</v>
      </c>
      <c r="F5" s="12">
        <v>200299.183928018</v>
      </c>
      <c r="G5" s="13">
        <f t="shared" ref="G5:G25" si="0">E5/C5-1</f>
        <v>0.0236327572414801</v>
      </c>
      <c r="H5" s="14">
        <f t="shared" ref="H5:H25" si="1">F5/D5-1</f>
        <v>0.111886781010508</v>
      </c>
      <c r="I5" s="23">
        <f>VLOOKUP(B5,[2]计算结果表!$B$1:$AA$25,13,0)</f>
        <v>73348.38941</v>
      </c>
      <c r="J5" s="23">
        <f>VLOOKUP(B5,[3]计算结果表!$B$1:$AA$25,13,0)</f>
        <v>80806.941089</v>
      </c>
      <c r="K5" s="24">
        <f t="shared" ref="K5:K26" si="2">J5/I5-1</f>
        <v>0.101686645596381</v>
      </c>
      <c r="L5" s="24">
        <f t="shared" ref="L5:L26" si="3">I5/C5</f>
        <v>0.070867864494299</v>
      </c>
      <c r="M5" s="24">
        <f t="shared" ref="M5:M26" si="4">J5/E5</f>
        <v>0.076271670052549</v>
      </c>
      <c r="N5" s="25">
        <f>RANK(M5,$M$5:$M$25,1)</f>
        <v>4</v>
      </c>
      <c r="O5" s="24">
        <f t="shared" ref="O5:O26" si="5">M5-L5</f>
        <v>0.00540380555824997</v>
      </c>
      <c r="P5" s="23">
        <f>VLOOKUP(B5,[2]计算结果表!$B$1:$AA$25,15,0)</f>
        <v>45969.808865</v>
      </c>
      <c r="Q5" s="23">
        <f>VLOOKUP(B5,[3]计算结果表!$B$1:$AA$25,15,0)</f>
        <v>63009.803023</v>
      </c>
      <c r="R5" s="24">
        <f t="shared" ref="R5:R26" si="6">Q5/P5-1</f>
        <v>0.370677942299946</v>
      </c>
      <c r="S5" s="24">
        <f t="shared" ref="S5:S26" si="7">P5/D5</f>
        <v>0.255184378688941</v>
      </c>
      <c r="T5" s="24">
        <f t="shared" ref="T5:T26" si="8">Q5/F5</f>
        <v>0.314578431061626</v>
      </c>
      <c r="U5" s="25">
        <f>RANK(T5,$T$5:$T$25,1)</f>
        <v>2</v>
      </c>
      <c r="V5" s="24">
        <f t="shared" ref="V5:V26" si="9">T5-S5</f>
        <v>0.0593940523726852</v>
      </c>
      <c r="W5" s="31">
        <f>VLOOKUP(B5,[3]计算结果表!$B$1:$T$25,18,0)</f>
        <v>9826.241503</v>
      </c>
      <c r="X5" s="31">
        <f>VLOOKUP(B5,[3]计算结果表!$B$1:$T$25,19,0)</f>
        <v>53183.56152</v>
      </c>
      <c r="Y5" s="37">
        <f>VLOOKUP(B5,[1]分ICT资源型数据!$B$1:$P$23,11,0)</f>
        <v>68355.35162</v>
      </c>
      <c r="Z5" s="37">
        <f>VLOOKUP(B5,[1]分ICT资源型数据!$B$1:$P$23,12,0)</f>
        <v>107234.609116</v>
      </c>
      <c r="AA5" s="24">
        <f t="shared" ref="AA5:AA26" si="10">W5/(Y5/11*12)</f>
        <v>0.131772975062588</v>
      </c>
      <c r="AB5" s="25">
        <f>RANK(AA5,$AA$5:$AA$25,1)</f>
        <v>3</v>
      </c>
      <c r="AC5" s="24">
        <f t="shared" ref="AC5:AC26" si="11">X5/(Z5/11*12)</f>
        <v>0.45462559580241</v>
      </c>
      <c r="AD5" s="25">
        <f>RANK(AC5,$AC$5:$AC$25,1)</f>
        <v>3</v>
      </c>
      <c r="AE5" s="38">
        <f>VLOOKUP(B5,[2]计算结果表!$B$1:$T$25,16,0)</f>
        <v>27378.580545</v>
      </c>
      <c r="AF5" s="38">
        <f>VLOOKUP(B5,[3]计算结果表!$B$1:$T$25,16,0)</f>
        <v>17797.138066</v>
      </c>
      <c r="AG5" s="14">
        <f t="shared" ref="AG5:AG26" si="12">AF5/AE5-1</f>
        <v>-0.349961257606169</v>
      </c>
      <c r="AH5" s="14">
        <f t="shared" ref="AH5:AH26" si="13">AE5/(C5-D5)</f>
        <v>0.0320270280792095</v>
      </c>
      <c r="AI5" s="14">
        <f t="shared" ref="AI5:AI26" si="14">AF5/(E5-F5)</f>
        <v>0.020714509959422</v>
      </c>
      <c r="AJ5" s="25">
        <f>RANK(AI5,$AI$5:$AI$25,1)</f>
        <v>3</v>
      </c>
      <c r="AK5" s="14">
        <f t="shared" ref="AK5:AK26" si="15">AI5-AH5</f>
        <v>-0.0113125181197875</v>
      </c>
      <c r="AL5" s="23">
        <f>VLOOKUP(B5,'[5]查询结果(2025年1月)'!$A$2:$M$29,13,0)</f>
        <v>15678.689879</v>
      </c>
      <c r="AM5" s="23">
        <f>VLOOKUP(B5,'[4]查询结果(2026年1月)'!$A$2:$M$29,13,0)</f>
        <v>16352.636499</v>
      </c>
      <c r="AN5" s="24">
        <f t="shared" ref="AN5:AN26" si="16">AM5/AL5-1</f>
        <v>0.0429848810838898</v>
      </c>
      <c r="AO5" s="25">
        <f>RANK(AN5,$AN$5:$AN$25,1)</f>
        <v>4</v>
      </c>
      <c r="AP5" s="24">
        <f t="shared" ref="AP5:AP26" si="17">AL5/I5</f>
        <v>0.213756430169991</v>
      </c>
      <c r="AQ5" s="24">
        <f t="shared" ref="AQ5:AQ26" si="18">AM5/J5</f>
        <v>0.202366730860278</v>
      </c>
      <c r="AR5" s="25">
        <f>RANK(AQ5,$AQ$5:$AQ$25,1)</f>
        <v>13</v>
      </c>
      <c r="AS5" s="45">
        <f>VLOOKUP(B5,'[7]查询结果(2025年1月)'!$A$2:$M$25,13,0)</f>
        <v>7053.369813</v>
      </c>
      <c r="AT5" s="45">
        <f>VLOOKUP(B5,'[6]查询结果(2026年1月)'!$A$2:$M$25,13,0)</f>
        <v>10358.607052</v>
      </c>
      <c r="AU5" s="46">
        <f t="shared" ref="AU5:AU26" si="19">AT5/Q5</f>
        <v>0.164396753441982</v>
      </c>
      <c r="AV5" s="47">
        <f>RANK(AU5,$AU$5:$AU$25,1)</f>
        <v>11</v>
      </c>
      <c r="AW5" s="52">
        <f t="shared" ref="AW5:AW26" si="20">AT5/AS5-1</f>
        <v>0.468603990238559</v>
      </c>
      <c r="AX5" s="53">
        <f>RANK(AW5,$AW$5:$AW$25,1)</f>
        <v>6</v>
      </c>
      <c r="AY5" s="23">
        <f>VLOOKUP(B5,[2]计算结果表!$B$1:$T$25,17,0)</f>
        <v>97435.959051</v>
      </c>
      <c r="AZ5" s="23">
        <f>VLOOKUP(B5,[3]计算结果表!$B$1:$T$25,17,0)</f>
        <v>101492.733677</v>
      </c>
      <c r="BA5" s="24">
        <f t="shared" ref="BA5:BA26" si="21">AZ5/AY5-1</f>
        <v>0.0416352922012766</v>
      </c>
      <c r="BB5" s="24">
        <f t="shared" ref="BB5:BB26" si="22">AY5/C5</f>
        <v>0.0941408311544593</v>
      </c>
      <c r="BC5" s="24">
        <f t="shared" ref="BC5:BC26" si="23">AZ5/E5</f>
        <v>0.0957964772756029</v>
      </c>
      <c r="BD5" s="25">
        <f>RANK(BC5,$BC$5:$BC$25,0)</f>
        <v>3</v>
      </c>
      <c r="BE5" s="24">
        <f t="shared" ref="BE5:BE26" si="24">BC5-BB5</f>
        <v>0.00165564612114368</v>
      </c>
      <c r="BF5" s="55">
        <f>VLOOKUP(B5,[2]计算结果表!$B$1:$T$25,9,0)</f>
        <v>531.036981</v>
      </c>
      <c r="BG5" s="56">
        <f>VLOOKUP(B5,[3]计算结果表!$B$1:$T$25,9,0)</f>
        <v>937.250999</v>
      </c>
      <c r="BH5" s="57">
        <f t="shared" ref="BH5:BH26" si="25">BG5/BF5-1</f>
        <v>0.764944876786274</v>
      </c>
      <c r="BI5" s="57">
        <f t="shared" ref="BI5:BI26" si="26">BF5/I5</f>
        <v>0.007239926946884</v>
      </c>
      <c r="BJ5" s="57">
        <f t="shared" ref="BJ5:BJ26" si="27">BG5/J5</f>
        <v>0.0115986447001839</v>
      </c>
      <c r="BK5" s="58">
        <f>RANK(BJ5,$BJ$5:$BJ$25,1)</f>
        <v>2</v>
      </c>
      <c r="BL5" s="59">
        <f>VLOOKUP(B5,[8]市州营业收现率202501完成!$B$1:$AH$28,6,0)</f>
        <v>79504.698118</v>
      </c>
      <c r="BM5" s="63">
        <f>VLOOKUP(B5,[9]市州营业收现率1月完成!$B$1:$AI$28,7,0)</f>
        <v>72034.2050110001</v>
      </c>
      <c r="BN5" s="24">
        <f>VLOOKUP(B5,[8]市州营业收现率202501完成!$B$1:$AH$28,5,0)</f>
        <v>0.872281219306914</v>
      </c>
      <c r="BO5" s="24">
        <f>VLOOKUP(B5,[9]市州营业收现率1月完成!$B$1:$AI$28,5,0)</f>
        <v>0.807281293934247</v>
      </c>
      <c r="BP5" s="58">
        <f>RANK(BO5,$BO$5:$BO$25,0)</f>
        <v>12</v>
      </c>
    </row>
    <row r="6" s="1" customFormat="1" ht="15" customHeight="1" spans="1:68">
      <c r="A6" s="10">
        <v>2</v>
      </c>
      <c r="B6" s="10" t="s">
        <v>66</v>
      </c>
      <c r="C6" s="11">
        <v>181679.31450566</v>
      </c>
      <c r="D6" s="11">
        <v>18516.33890666</v>
      </c>
      <c r="E6" s="12">
        <v>186047.105255515</v>
      </c>
      <c r="F6" s="12">
        <v>22732.1052555154</v>
      </c>
      <c r="G6" s="13">
        <f t="shared" si="0"/>
        <v>0.024041211085255</v>
      </c>
      <c r="H6" s="14">
        <f t="shared" si="1"/>
        <v>0.227678180341529</v>
      </c>
      <c r="I6" s="23">
        <f>VLOOKUP(B6,[2]计算结果表!$B$1:$AA$25,13,0)</f>
        <v>10774.631548</v>
      </c>
      <c r="J6" s="23">
        <f>VLOOKUP(B6,[3]计算结果表!$B$1:$AA$25,13,0)</f>
        <v>13643.080963</v>
      </c>
      <c r="K6" s="24">
        <f t="shared" si="2"/>
        <v>0.266222506284444</v>
      </c>
      <c r="L6" s="24">
        <f t="shared" si="3"/>
        <v>0.0593057694945471</v>
      </c>
      <c r="M6" s="24">
        <f t="shared" si="4"/>
        <v>0.0733313261943138</v>
      </c>
      <c r="N6" s="25">
        <f>RANK(M6,$M$5:$M$25,1)</f>
        <v>3</v>
      </c>
      <c r="O6" s="24">
        <f t="shared" si="5"/>
        <v>0.0140255566997667</v>
      </c>
      <c r="P6" s="23">
        <f>VLOOKUP(B6,[2]计算结果表!$B$1:$AA$25,15,0)</f>
        <v>5386.087383</v>
      </c>
      <c r="Q6" s="23">
        <f>VLOOKUP(B6,[3]计算结果表!$B$1:$AA$25,15,0)</f>
        <v>7884.049916</v>
      </c>
      <c r="R6" s="24">
        <f t="shared" si="6"/>
        <v>0.463780543346599</v>
      </c>
      <c r="S6" s="24">
        <f t="shared" si="7"/>
        <v>0.290882955326699</v>
      </c>
      <c r="T6" s="24">
        <f t="shared" si="8"/>
        <v>0.34682445059008</v>
      </c>
      <c r="U6" s="25">
        <f>RANK(T6,$T$5:$T$25,1)</f>
        <v>5</v>
      </c>
      <c r="V6" s="24">
        <f t="shared" si="9"/>
        <v>0.055941495263381</v>
      </c>
      <c r="W6" s="31">
        <f>VLOOKUP(B6,[3]计算结果表!$B$1:$T$25,18,0)</f>
        <v>1284.398574</v>
      </c>
      <c r="X6" s="31">
        <f>VLOOKUP(B6,[3]计算结果表!$B$1:$T$25,19,0)</f>
        <v>6599.651342</v>
      </c>
      <c r="Y6" s="37">
        <f>VLOOKUP(B6,[1]分ICT资源型数据!$B$1:$P$23,11,0)</f>
        <v>7341.013965</v>
      </c>
      <c r="Z6" s="37">
        <f>VLOOKUP(B6,[1]分ICT资源型数据!$B$1:$P$23,12,0)</f>
        <v>10540.179972</v>
      </c>
      <c r="AA6" s="24">
        <f t="shared" si="10"/>
        <v>0.160381844403697</v>
      </c>
      <c r="AB6" s="25">
        <f>RANK(AA6,$AA$5:$AA$25,1)</f>
        <v>6</v>
      </c>
      <c r="AC6" s="24">
        <f t="shared" si="11"/>
        <v>0.573963671673948</v>
      </c>
      <c r="AD6" s="25">
        <f>RANK(AC6,$AC$5:$AC$25,1)</f>
        <v>6</v>
      </c>
      <c r="AE6" s="38">
        <f>VLOOKUP(B6,[2]计算结果表!$B$1:$T$25,16,0)</f>
        <v>5388.544165</v>
      </c>
      <c r="AF6" s="38">
        <f>VLOOKUP(B6,[3]计算结果表!$B$1:$T$25,16,0)</f>
        <v>5759.031047</v>
      </c>
      <c r="AG6" s="14">
        <f t="shared" si="12"/>
        <v>0.0687545412370207</v>
      </c>
      <c r="AH6" s="14">
        <f t="shared" si="13"/>
        <v>0.0330255325708403</v>
      </c>
      <c r="AI6" s="14">
        <f t="shared" si="14"/>
        <v>0.0352633318862322</v>
      </c>
      <c r="AJ6" s="25">
        <f>RANK(AI6,$AI$5:$AI$25,1)</f>
        <v>10</v>
      </c>
      <c r="AK6" s="14">
        <f t="shared" si="15"/>
        <v>0.00223779931539189</v>
      </c>
      <c r="AL6" s="23">
        <f>VLOOKUP(B6,'[5]查询结果(2025年1月)'!$A$2:$M$29,13,0)</f>
        <v>748.049338</v>
      </c>
      <c r="AM6" s="23">
        <f>VLOOKUP(B6,'[4]查询结果(2026年1月)'!$A$2:$M$29,13,0)</f>
        <v>1761.942371</v>
      </c>
      <c r="AN6" s="24">
        <f t="shared" si="16"/>
        <v>1.35538256836209</v>
      </c>
      <c r="AO6" s="25">
        <f>RANK(AN6,$AN$5:$AN$25,1)</f>
        <v>14</v>
      </c>
      <c r="AP6" s="24">
        <f t="shared" si="17"/>
        <v>0.069426906587711</v>
      </c>
      <c r="AQ6" s="24">
        <f t="shared" si="18"/>
        <v>0.129145489627921</v>
      </c>
      <c r="AR6" s="25">
        <f>RANK(AQ6,$AQ$5:$AQ$25,1)</f>
        <v>4</v>
      </c>
      <c r="AS6" s="45">
        <f>VLOOKUP(B6,'[7]查询结果(2025年1月)'!$A$2:$M$25,13,0)</f>
        <v>343.578883</v>
      </c>
      <c r="AT6" s="45">
        <f>VLOOKUP(B6,'[6]查询结果(2026年1月)'!$A$2:$M$25,13,0)</f>
        <v>1034.941249</v>
      </c>
      <c r="AU6" s="46">
        <f t="shared" si="19"/>
        <v>0.131270255772947</v>
      </c>
      <c r="AV6" s="47">
        <f>RANK(AU6,$AU$5:$AU$25,1)</f>
        <v>5</v>
      </c>
      <c r="AW6" s="52">
        <f t="shared" si="20"/>
        <v>2.01223765547896</v>
      </c>
      <c r="AX6" s="53">
        <f>RANK(AW6,$AW$5:$AW$25,1)</f>
        <v>16</v>
      </c>
      <c r="AY6" s="23">
        <f>VLOOKUP(B6,[2]计算结果表!$B$1:$T$25,17,0)</f>
        <v>12078.002339</v>
      </c>
      <c r="AZ6" s="23">
        <f>VLOOKUP(B6,[3]计算结果表!$B$1:$T$25,17,0)</f>
        <v>12640.669517</v>
      </c>
      <c r="BA6" s="24">
        <f t="shared" si="21"/>
        <v>0.0465861126871239</v>
      </c>
      <c r="BB6" s="24">
        <f t="shared" si="22"/>
        <v>0.0664797881468433</v>
      </c>
      <c r="BC6" s="24">
        <f t="shared" si="23"/>
        <v>0.0679433818636385</v>
      </c>
      <c r="BD6" s="25">
        <f>RANK(BC6,$BC$5:$BC$25,0)</f>
        <v>10</v>
      </c>
      <c r="BE6" s="24">
        <f t="shared" si="24"/>
        <v>0.00146359371679516</v>
      </c>
      <c r="BF6" s="55">
        <f>VLOOKUP(B6,[2]计算结果表!$B$1:$T$25,9,0)</f>
        <v>228.941885</v>
      </c>
      <c r="BG6" s="56">
        <f>VLOOKUP(B6,[3]计算结果表!$B$1:$T$25,9,0)</f>
        <v>471.654875</v>
      </c>
      <c r="BH6" s="57">
        <f t="shared" si="25"/>
        <v>1.06015109467628</v>
      </c>
      <c r="BI6" s="57">
        <f t="shared" si="26"/>
        <v>0.0212482333136019</v>
      </c>
      <c r="BJ6" s="57">
        <f t="shared" si="27"/>
        <v>0.0345709943581752</v>
      </c>
      <c r="BK6" s="58">
        <f>RANK(BJ6,$BJ$5:$BJ$25,1)</f>
        <v>9</v>
      </c>
      <c r="BL6" s="59">
        <f>VLOOKUP(B6,[8]市州营业收现率202501完成!$B$1:$AH$28,6,0)</f>
        <v>13642.349115</v>
      </c>
      <c r="BM6" s="63">
        <f>VLOOKUP(B6,[9]市州营业收现率1月完成!$B$1:$AI$28,7,0)</f>
        <v>13258.246012</v>
      </c>
      <c r="BN6" s="24">
        <f>VLOOKUP(B6,[8]市州营业收现率202501完成!$B$1:$AH$28,5,0)</f>
        <v>0.847726106293695</v>
      </c>
      <c r="BO6" s="24">
        <f>VLOOKUP(B6,[9]市州营业收现率1月完成!$B$1:$AI$28,5,0)</f>
        <v>0.892365925979316</v>
      </c>
      <c r="BP6" s="58">
        <f>RANK(BO6,$BO$5:$BO$25,0)</f>
        <v>7</v>
      </c>
    </row>
    <row r="7" s="1" customFormat="1" ht="15" customHeight="1" spans="1:68">
      <c r="A7" s="10">
        <v>3</v>
      </c>
      <c r="B7" s="10" t="s">
        <v>67</v>
      </c>
      <c r="C7" s="11">
        <v>179641.910012241</v>
      </c>
      <c r="D7" s="11">
        <v>12469.678737241</v>
      </c>
      <c r="E7" s="12">
        <v>184491.848760375</v>
      </c>
      <c r="F7" s="12">
        <v>16842.1827603748</v>
      </c>
      <c r="G7" s="13">
        <f t="shared" si="0"/>
        <v>0.0269978133042759</v>
      </c>
      <c r="H7" s="14">
        <f t="shared" si="1"/>
        <v>0.350650896087259</v>
      </c>
      <c r="I7" s="23">
        <f>VLOOKUP(B7,[2]计算结果表!$B$1:$AA$25,13,0)</f>
        <v>12929.666626</v>
      </c>
      <c r="J7" s="23">
        <f>VLOOKUP(B7,[3]计算结果表!$B$1:$AA$25,13,0)</f>
        <v>19297.559331</v>
      </c>
      <c r="K7" s="24">
        <f t="shared" si="2"/>
        <v>0.492502466551994</v>
      </c>
      <c r="L7" s="24">
        <f t="shared" si="3"/>
        <v>0.0719746668531801</v>
      </c>
      <c r="M7" s="24">
        <f t="shared" si="4"/>
        <v>0.104598438688012</v>
      </c>
      <c r="N7" s="25">
        <f>RANK(M7,$M$5:$M$25,1)</f>
        <v>11</v>
      </c>
      <c r="O7" s="24">
        <f t="shared" si="5"/>
        <v>0.0326237718348316</v>
      </c>
      <c r="P7" s="23">
        <f>VLOOKUP(B7,[2]计算结果表!$B$1:$AA$25,15,0)</f>
        <v>6610.147052</v>
      </c>
      <c r="Q7" s="23">
        <f>VLOOKUP(B7,[3]计算结果表!$B$1:$AA$25,15,0)</f>
        <v>10777.188752</v>
      </c>
      <c r="R7" s="24">
        <f t="shared" si="6"/>
        <v>0.630400756173677</v>
      </c>
      <c r="S7" s="24">
        <f t="shared" si="7"/>
        <v>0.530097622503989</v>
      </c>
      <c r="T7" s="24">
        <f t="shared" si="8"/>
        <v>0.639892637749774</v>
      </c>
      <c r="U7" s="25">
        <f>RANK(T7,$T$5:$T$25,1)</f>
        <v>19</v>
      </c>
      <c r="V7" s="24">
        <f t="shared" si="9"/>
        <v>0.109795015245785</v>
      </c>
      <c r="W7" s="31">
        <f>VLOOKUP(B7,[3]计算结果表!$B$1:$T$25,18,0)</f>
        <v>1053.885624</v>
      </c>
      <c r="X7" s="31">
        <f>VLOOKUP(B7,[3]计算结果表!$B$1:$T$25,19,0)</f>
        <v>9723.303128</v>
      </c>
      <c r="Y7" s="37">
        <f>VLOOKUP(B7,[1]分ICT资源型数据!$B$1:$P$23,11,0)</f>
        <v>4709.5539</v>
      </c>
      <c r="Z7" s="37">
        <f>VLOOKUP(B7,[1]分ICT资源型数据!$B$1:$P$23,12,0)</f>
        <v>9514.67531</v>
      </c>
      <c r="AA7" s="24">
        <f t="shared" si="10"/>
        <v>0.205128095465687</v>
      </c>
      <c r="AB7" s="25">
        <f>RANK(AA7,$AA$5:$AA$25,1)</f>
        <v>9</v>
      </c>
      <c r="AC7" s="24">
        <f t="shared" si="11"/>
        <v>0.936766371624439</v>
      </c>
      <c r="AD7" s="25">
        <f>RANK(AC7,$AC$5:$AC$25,1)</f>
        <v>19</v>
      </c>
      <c r="AE7" s="38">
        <f>VLOOKUP(B7,[2]计算结果表!$B$1:$T$25,16,0)</f>
        <v>6319.519574</v>
      </c>
      <c r="AF7" s="38">
        <f>VLOOKUP(B7,[3]计算结果表!$B$1:$T$25,16,0)</f>
        <v>8520.370579</v>
      </c>
      <c r="AG7" s="14">
        <f t="shared" si="12"/>
        <v>0.348262392295583</v>
      </c>
      <c r="AH7" s="14">
        <f t="shared" si="13"/>
        <v>0.0378024479652026</v>
      </c>
      <c r="AI7" s="14">
        <f t="shared" si="14"/>
        <v>0.0508224727331099</v>
      </c>
      <c r="AJ7" s="25">
        <f>RANK(AI7,$AI$5:$AI$25,1)</f>
        <v>18</v>
      </c>
      <c r="AK7" s="14">
        <f t="shared" si="15"/>
        <v>0.0130200247679074</v>
      </c>
      <c r="AL7" s="23">
        <f>VLOOKUP(B7,'[5]查询结果(2025年1月)'!$A$2:$M$29,13,0)</f>
        <v>2733.637667</v>
      </c>
      <c r="AM7" s="23">
        <f>VLOOKUP(B7,'[4]查询结果(2026年1月)'!$A$2:$M$29,13,0)</f>
        <v>3660.358113</v>
      </c>
      <c r="AN7" s="24">
        <f t="shared" si="16"/>
        <v>0.339006320108626</v>
      </c>
      <c r="AO7" s="25">
        <f>RANK(AN7,$AN$5:$AN$25,1)</f>
        <v>6</v>
      </c>
      <c r="AP7" s="24">
        <f t="shared" si="17"/>
        <v>0.211423677506347</v>
      </c>
      <c r="AQ7" s="24">
        <f t="shared" si="18"/>
        <v>0.189679847602278</v>
      </c>
      <c r="AR7" s="25">
        <f>RANK(AQ7,$AQ$5:$AQ$25,1)</f>
        <v>12</v>
      </c>
      <c r="AS7" s="45">
        <f>VLOOKUP(B7,'[7]查询结果(2025年1月)'!$A$2:$M$25,13,0)</f>
        <v>2446.297417</v>
      </c>
      <c r="AT7" s="45">
        <f>VLOOKUP(B7,'[6]查询结果(2026年1月)'!$A$2:$M$25,13,0)</f>
        <v>2658.807976</v>
      </c>
      <c r="AU7" s="46">
        <f t="shared" si="19"/>
        <v>0.246707006547193</v>
      </c>
      <c r="AV7" s="47">
        <f>RANK(AU7,$AU$5:$AU$25,1)</f>
        <v>17</v>
      </c>
      <c r="AW7" s="52">
        <f t="shared" si="20"/>
        <v>0.0868702871217559</v>
      </c>
      <c r="AX7" s="53">
        <f>RANK(AW7,$AW$5:$AW$25,1)</f>
        <v>5</v>
      </c>
      <c r="AY7" s="23">
        <f>VLOOKUP(B7,[2]计算结果表!$B$1:$T$25,17,0)</f>
        <v>8274.150036</v>
      </c>
      <c r="AZ7" s="23">
        <f>VLOOKUP(B7,[3]计算结果表!$B$1:$T$25,17,0)</f>
        <v>9450.295391</v>
      </c>
      <c r="BA7" s="24">
        <f t="shared" si="21"/>
        <v>0.142146969765198</v>
      </c>
      <c r="BB7" s="24">
        <f t="shared" si="22"/>
        <v>0.0460591297177601</v>
      </c>
      <c r="BC7" s="24">
        <f t="shared" si="23"/>
        <v>0.0512233762873416</v>
      </c>
      <c r="BD7" s="25">
        <f>RANK(BC7,$BC$5:$BC$25,0)</f>
        <v>18</v>
      </c>
      <c r="BE7" s="24">
        <f t="shared" si="24"/>
        <v>0.00516424656958144</v>
      </c>
      <c r="BF7" s="55">
        <f>VLOOKUP(B7,[2]计算结果表!$B$1:$T$25,9,0)</f>
        <v>516.528279</v>
      </c>
      <c r="BG7" s="56">
        <f>VLOOKUP(B7,[3]计算结果表!$B$1:$T$25,9,0)</f>
        <v>626.31263</v>
      </c>
      <c r="BH7" s="57">
        <f t="shared" si="25"/>
        <v>0.212542769608941</v>
      </c>
      <c r="BI7" s="57">
        <f t="shared" si="26"/>
        <v>0.0399490794264814</v>
      </c>
      <c r="BJ7" s="57">
        <f t="shared" si="27"/>
        <v>0.0324555359181551</v>
      </c>
      <c r="BK7" s="58">
        <f>RANK(BJ7,$BJ$5:$BJ$25,1)</f>
        <v>8</v>
      </c>
      <c r="BL7" s="59">
        <f>VLOOKUP(B7,[8]市州营业收现率202501完成!$B$1:$AH$28,6,0)</f>
        <v>15774.914577</v>
      </c>
      <c r="BM7" s="63">
        <f>VLOOKUP(B7,[9]市州营业收现率1月完成!$B$1:$AI$28,7,0)</f>
        <v>12827.940994</v>
      </c>
      <c r="BN7" s="24">
        <f>VLOOKUP(B7,[8]市州营业收现率202501完成!$B$1:$AH$28,5,0)</f>
        <v>1.00174691663152</v>
      </c>
      <c r="BO7" s="24">
        <f>VLOOKUP(B7,[9]市州营业收现率1月完成!$B$1:$AI$28,5,0)</f>
        <v>0.866224159614951</v>
      </c>
      <c r="BP7" s="58">
        <f>RANK(BO7,$BO$5:$BO$25,0)</f>
        <v>8</v>
      </c>
    </row>
    <row r="8" s="1" customFormat="1" ht="15" customHeight="1" spans="1:68">
      <c r="A8" s="10">
        <v>4</v>
      </c>
      <c r="B8" s="10" t="s">
        <v>68</v>
      </c>
      <c r="C8" s="11">
        <v>162553.548497828</v>
      </c>
      <c r="D8" s="11">
        <v>16331.3692348284</v>
      </c>
      <c r="E8" s="12">
        <v>164815.203855653</v>
      </c>
      <c r="F8" s="12">
        <v>18361.203855653</v>
      </c>
      <c r="G8" s="13">
        <f t="shared" si="0"/>
        <v>0.0139132942880988</v>
      </c>
      <c r="H8" s="14">
        <f t="shared" si="1"/>
        <v>0.124290535082371</v>
      </c>
      <c r="I8" s="23">
        <f>VLOOKUP(B8,[2]计算结果表!$B$1:$AA$25,13,0)</f>
        <v>11875.628075</v>
      </c>
      <c r="J8" s="23">
        <f>VLOOKUP(B8,[3]计算结果表!$B$1:$AA$25,13,0)</f>
        <v>12793.977406</v>
      </c>
      <c r="K8" s="24">
        <f t="shared" si="2"/>
        <v>0.077330590449634</v>
      </c>
      <c r="L8" s="24">
        <f t="shared" si="3"/>
        <v>0.073056713832111</v>
      </c>
      <c r="M8" s="24">
        <f t="shared" si="4"/>
        <v>0.0776261965322393</v>
      </c>
      <c r="N8" s="25">
        <f>RANK(M8,$M$5:$M$25,1)</f>
        <v>5</v>
      </c>
      <c r="O8" s="24">
        <f t="shared" si="5"/>
        <v>0.00456948270012825</v>
      </c>
      <c r="P8" s="23">
        <f>VLOOKUP(B8,[2]计算结果表!$B$1:$AA$25,15,0)</f>
        <v>7246.124994</v>
      </c>
      <c r="Q8" s="23">
        <f>VLOOKUP(B8,[3]计算结果表!$B$1:$AA$25,15,0)</f>
        <v>9097.664597</v>
      </c>
      <c r="R8" s="24">
        <f t="shared" si="6"/>
        <v>0.255521344792303</v>
      </c>
      <c r="S8" s="24">
        <f t="shared" si="7"/>
        <v>0.443693660329892</v>
      </c>
      <c r="T8" s="24">
        <f t="shared" si="8"/>
        <v>0.495483012362451</v>
      </c>
      <c r="U8" s="25">
        <f>RANK(T8,$T$5:$T$25,1)</f>
        <v>11</v>
      </c>
      <c r="V8" s="24">
        <f t="shared" si="9"/>
        <v>0.0517893520325592</v>
      </c>
      <c r="W8" s="31">
        <f>VLOOKUP(B8,[3]计算结果表!$B$1:$T$25,18,0)</f>
        <v>1659.359118</v>
      </c>
      <c r="X8" s="31">
        <f>VLOOKUP(B8,[3]计算结果表!$B$1:$T$25,19,0)</f>
        <v>7438.305479</v>
      </c>
      <c r="Y8" s="37">
        <f>VLOOKUP(B8,[1]分ICT资源型数据!$B$1:$P$23,11,0)</f>
        <v>4667.584299</v>
      </c>
      <c r="Z8" s="37">
        <f>VLOOKUP(B8,[1]分ICT资源型数据!$B$1:$P$23,12,0)</f>
        <v>9556.183181</v>
      </c>
      <c r="AA8" s="24">
        <f t="shared" si="10"/>
        <v>0.325881461171656</v>
      </c>
      <c r="AB8" s="25">
        <f>RANK(AA8,$AA$5:$AA$25,1)</f>
        <v>18</v>
      </c>
      <c r="AC8" s="24">
        <f t="shared" si="11"/>
        <v>0.713511509766792</v>
      </c>
      <c r="AD8" s="25">
        <f>RANK(AC8,$AC$5:$AC$25,1)</f>
        <v>13</v>
      </c>
      <c r="AE8" s="38">
        <f>VLOOKUP(B8,[2]计算结果表!$B$1:$T$25,16,0)</f>
        <v>4629.503081</v>
      </c>
      <c r="AF8" s="38">
        <f>VLOOKUP(B8,[3]计算结果表!$B$1:$T$25,16,0)</f>
        <v>3696.312809</v>
      </c>
      <c r="AG8" s="14">
        <f t="shared" si="12"/>
        <v>-0.201574608693948</v>
      </c>
      <c r="AH8" s="14">
        <f t="shared" si="13"/>
        <v>0.0316607446581222</v>
      </c>
      <c r="AI8" s="14">
        <f t="shared" si="14"/>
        <v>0.0252387289456075</v>
      </c>
      <c r="AJ8" s="25">
        <f>RANK(AI8,$AI$5:$AI$25,1)</f>
        <v>6</v>
      </c>
      <c r="AK8" s="14">
        <f t="shared" si="15"/>
        <v>-0.0064220157125147</v>
      </c>
      <c r="AL8" s="23">
        <f>VLOOKUP(B8,'[5]查询结果(2025年1月)'!$A$2:$M$29,13,0)</f>
        <v>1890.866837</v>
      </c>
      <c r="AM8" s="23">
        <f>VLOOKUP(B8,'[4]查询结果(2026年1月)'!$A$2:$M$29,13,0)</f>
        <v>3290.143213</v>
      </c>
      <c r="AN8" s="24">
        <f t="shared" si="16"/>
        <v>0.740018465932829</v>
      </c>
      <c r="AO8" s="25">
        <f>RANK(AN8,$AN$5:$AN$25,1)</f>
        <v>7</v>
      </c>
      <c r="AP8" s="24">
        <f t="shared" si="17"/>
        <v>0.159222470176593</v>
      </c>
      <c r="AQ8" s="24">
        <f t="shared" si="18"/>
        <v>0.257163437810748</v>
      </c>
      <c r="AR8" s="25">
        <f>RANK(AQ8,$AQ$5:$AQ$25,1)</f>
        <v>18</v>
      </c>
      <c r="AS8" s="45">
        <f>VLOOKUP(B8,'[7]查询结果(2025年1月)'!$A$2:$M$25,13,0)</f>
        <v>1285.68517</v>
      </c>
      <c r="AT8" s="45">
        <f>VLOOKUP(B8,'[6]查询结果(2026年1月)'!$A$2:$M$25,13,0)</f>
        <v>2112.53942</v>
      </c>
      <c r="AU8" s="46">
        <f t="shared" si="19"/>
        <v>0.232206782023666</v>
      </c>
      <c r="AV8" s="47">
        <f>RANK(AU8,$AU$5:$AU$25,1)</f>
        <v>15</v>
      </c>
      <c r="AW8" s="52">
        <f t="shared" si="20"/>
        <v>0.643123424998361</v>
      </c>
      <c r="AX8" s="53">
        <f>RANK(AW8,$AW$5:$AW$25,1)</f>
        <v>7</v>
      </c>
      <c r="AY8" s="23">
        <f>VLOOKUP(B8,[2]计算结果表!$B$1:$T$25,17,0)</f>
        <v>8962.554061</v>
      </c>
      <c r="AZ8" s="23">
        <f>VLOOKUP(B8,[3]计算结果表!$B$1:$T$25,17,0)</f>
        <v>7912.769323</v>
      </c>
      <c r="BA8" s="24">
        <f t="shared" si="21"/>
        <v>-0.117130087121937</v>
      </c>
      <c r="BB8" s="24">
        <f t="shared" si="22"/>
        <v>0.0551360099107265</v>
      </c>
      <c r="BC8" s="24">
        <f t="shared" si="23"/>
        <v>0.0480099477347375</v>
      </c>
      <c r="BD8" s="25">
        <f>RANK(BC8,$BC$5:$BC$25,0)</f>
        <v>20</v>
      </c>
      <c r="BE8" s="24">
        <f t="shared" si="24"/>
        <v>-0.00712606217598901</v>
      </c>
      <c r="BF8" s="55">
        <f>VLOOKUP(B8,[2]计算结果表!$B$1:$T$25,9,0)</f>
        <v>429.98962</v>
      </c>
      <c r="BG8" s="56">
        <f>VLOOKUP(B8,[3]计算结果表!$B$1:$T$25,9,0)</f>
        <v>966.722472</v>
      </c>
      <c r="BH8" s="57">
        <f t="shared" si="25"/>
        <v>1.2482460669632</v>
      </c>
      <c r="BI8" s="57">
        <f t="shared" si="26"/>
        <v>0.036207737164251</v>
      </c>
      <c r="BJ8" s="57">
        <f t="shared" si="27"/>
        <v>0.0755607456010228</v>
      </c>
      <c r="BK8" s="58">
        <f>RANK(BJ8,$BJ$5:$BJ$25,1)</f>
        <v>21</v>
      </c>
      <c r="BL8" s="59">
        <f>VLOOKUP(B8,[8]市州营业收现率202501完成!$B$1:$AH$28,6,0)</f>
        <v>12969.570497</v>
      </c>
      <c r="BM8" s="63">
        <f>VLOOKUP(B8,[9]市州营业收现率1月完成!$B$1:$AI$28,7,0)</f>
        <v>11256.140511</v>
      </c>
      <c r="BN8" s="24">
        <f>VLOOKUP(B8,[8]市州营业收现率202501完成!$B$1:$AH$28,5,0)</f>
        <v>0.905717883786806</v>
      </c>
      <c r="BO8" s="24">
        <f>VLOOKUP(B8,[9]市州营业收现率1月完成!$B$1:$AI$28,5,0)</f>
        <v>0.814649814627794</v>
      </c>
      <c r="BP8" s="58">
        <f>RANK(BO8,$BO$5:$BO$25,0)</f>
        <v>11</v>
      </c>
    </row>
    <row r="9" s="1" customFormat="1" ht="15" customHeight="1" spans="1:68">
      <c r="A9" s="10">
        <v>5</v>
      </c>
      <c r="B9" s="10" t="s">
        <v>69</v>
      </c>
      <c r="C9" s="11">
        <v>140988.952175012</v>
      </c>
      <c r="D9" s="11">
        <v>21848.2972250117</v>
      </c>
      <c r="E9" s="12">
        <v>143570.11985534</v>
      </c>
      <c r="F9" s="12">
        <v>24548.1198553395</v>
      </c>
      <c r="G9" s="13">
        <f t="shared" si="0"/>
        <v>0.0183075882224015</v>
      </c>
      <c r="H9" s="14">
        <f t="shared" si="1"/>
        <v>0.123571306382498</v>
      </c>
      <c r="I9" s="23">
        <f>VLOOKUP(B9,[2]计算结果表!$B$1:$AA$25,13,0)</f>
        <v>8244.496836</v>
      </c>
      <c r="J9" s="23">
        <f>VLOOKUP(B9,[3]计算结果表!$B$1:$AA$25,13,0)</f>
        <v>14747.074771</v>
      </c>
      <c r="K9" s="24">
        <f t="shared" si="2"/>
        <v>0.788717378919496</v>
      </c>
      <c r="L9" s="24">
        <f t="shared" si="3"/>
        <v>0.0584761905724781</v>
      </c>
      <c r="M9" s="24">
        <f t="shared" si="4"/>
        <v>0.102716879987695</v>
      </c>
      <c r="N9" s="25">
        <f>RANK(M9,$M$5:$M$25,1)</f>
        <v>10</v>
      </c>
      <c r="O9" s="24">
        <f t="shared" si="5"/>
        <v>0.0442406894152173</v>
      </c>
      <c r="P9" s="23">
        <f>VLOOKUP(B9,[2]计算结果表!$B$1:$AA$25,15,0)</f>
        <v>4820.314941</v>
      </c>
      <c r="Q9" s="23">
        <f>VLOOKUP(B9,[3]计算结果表!$B$1:$AA$25,15,0)</f>
        <v>9355.688881</v>
      </c>
      <c r="R9" s="24">
        <f t="shared" si="6"/>
        <v>0.940887472190585</v>
      </c>
      <c r="S9" s="24">
        <f t="shared" si="7"/>
        <v>0.220626572924949</v>
      </c>
      <c r="T9" s="24">
        <f t="shared" si="8"/>
        <v>0.3811163109897</v>
      </c>
      <c r="U9" s="25">
        <f>RANK(T9,$T$5:$T$25,1)</f>
        <v>6</v>
      </c>
      <c r="V9" s="24">
        <f t="shared" si="9"/>
        <v>0.160489738064751</v>
      </c>
      <c r="W9" s="31">
        <f>VLOOKUP(B9,[3]计算结果表!$B$1:$T$25,18,0)</f>
        <v>2175.039674</v>
      </c>
      <c r="X9" s="31">
        <f>VLOOKUP(B9,[3]计算结果表!$B$1:$T$25,19,0)</f>
        <v>7180.649207</v>
      </c>
      <c r="Y9" s="37">
        <f>VLOOKUP(B9,[1]分ICT资源型数据!$B$1:$P$23,11,0)</f>
        <v>8210.713034</v>
      </c>
      <c r="Z9" s="37">
        <f>VLOOKUP(B9,[1]分ICT资源型数据!$B$1:$P$23,12,0)</f>
        <v>11679.423886</v>
      </c>
      <c r="AA9" s="24">
        <f t="shared" si="10"/>
        <v>0.242827432840144</v>
      </c>
      <c r="AB9" s="25">
        <f>RANK(AA9,$AA$5:$AA$25,1)</f>
        <v>13</v>
      </c>
      <c r="AC9" s="24">
        <f t="shared" si="11"/>
        <v>0.563577607708324</v>
      </c>
      <c r="AD9" s="25">
        <f>RANK(AC9,$AC$5:$AC$25,1)</f>
        <v>5</v>
      </c>
      <c r="AE9" s="38">
        <f>VLOOKUP(B9,[2]计算结果表!$B$1:$T$25,16,0)</f>
        <v>3424.181895</v>
      </c>
      <c r="AF9" s="38">
        <f>VLOOKUP(B9,[3]计算结果表!$B$1:$T$25,16,0)</f>
        <v>5391.38589</v>
      </c>
      <c r="AG9" s="14">
        <f t="shared" si="12"/>
        <v>0.574503357392467</v>
      </c>
      <c r="AH9" s="14">
        <f t="shared" si="13"/>
        <v>0.0287406670412969</v>
      </c>
      <c r="AI9" s="14">
        <f t="shared" si="14"/>
        <v>0.0452973894742147</v>
      </c>
      <c r="AJ9" s="25">
        <f>RANK(AI9,$AI$5:$AI$25,1)</f>
        <v>15</v>
      </c>
      <c r="AK9" s="14">
        <f t="shared" si="15"/>
        <v>0.0165567224329178</v>
      </c>
      <c r="AL9" s="23">
        <f>VLOOKUP(B9,'[5]查询结果(2025年1月)'!$A$2:$M$29,13,0)</f>
        <v>525.813344</v>
      </c>
      <c r="AM9" s="23">
        <f>VLOOKUP(B9,'[4]查询结果(2026年1月)'!$A$2:$M$29,13,0)</f>
        <v>2353.462375</v>
      </c>
      <c r="AN9" s="24">
        <f t="shared" si="16"/>
        <v>3.4758513678953</v>
      </c>
      <c r="AO9" s="25">
        <f>RANK(AN9,$AN$5:$AN$25,1)</f>
        <v>21</v>
      </c>
      <c r="AP9" s="24">
        <f t="shared" si="17"/>
        <v>0.0637774935765649</v>
      </c>
      <c r="AQ9" s="24">
        <f t="shared" si="18"/>
        <v>0.159588420859442</v>
      </c>
      <c r="AR9" s="25">
        <f>RANK(AQ9,$AQ$5:$AQ$25,1)</f>
        <v>8</v>
      </c>
      <c r="AS9" s="45">
        <f>VLOOKUP(B9,'[7]查询结果(2025年1月)'!$A$2:$M$25,13,0)</f>
        <v>199.472757</v>
      </c>
      <c r="AT9" s="45">
        <f>VLOOKUP(B9,'[6]查询结果(2026年1月)'!$A$2:$M$25,13,0)</f>
        <v>1607.118405</v>
      </c>
      <c r="AU9" s="46">
        <f t="shared" si="19"/>
        <v>0.171779804292532</v>
      </c>
      <c r="AV9" s="47">
        <f>RANK(AU9,$AU$5:$AU$25,1)</f>
        <v>12</v>
      </c>
      <c r="AW9" s="52">
        <f t="shared" si="20"/>
        <v>7.05683156522472</v>
      </c>
      <c r="AX9" s="53">
        <f>RANK(AW9,$AW$5:$AW$25,1)</f>
        <v>21</v>
      </c>
      <c r="AY9" s="23">
        <f>VLOOKUP(B9,[2]计算结果表!$B$1:$T$25,17,0)</f>
        <v>12608.528816</v>
      </c>
      <c r="AZ9" s="23">
        <f>VLOOKUP(B9,[3]计算结果表!$B$1:$T$25,17,0)</f>
        <v>11103.57721</v>
      </c>
      <c r="BA9" s="24">
        <f t="shared" si="21"/>
        <v>-0.119359810169942</v>
      </c>
      <c r="BB9" s="24">
        <f t="shared" si="22"/>
        <v>0.0894291972632637</v>
      </c>
      <c r="BC9" s="24">
        <f t="shared" si="23"/>
        <v>0.0773390537055194</v>
      </c>
      <c r="BD9" s="25">
        <f>RANK(BC9,$BC$5:$BC$25,0)</f>
        <v>7</v>
      </c>
      <c r="BE9" s="24">
        <f t="shared" si="24"/>
        <v>-0.0120901435577443</v>
      </c>
      <c r="BF9" s="55">
        <f>VLOOKUP(B9,[2]计算结果表!$B$1:$T$25,9,0)</f>
        <v>22.309826</v>
      </c>
      <c r="BG9" s="56">
        <f>VLOOKUP(B9,[3]计算结果表!$B$1:$T$25,9,0)</f>
        <v>390.988003</v>
      </c>
      <c r="BH9" s="57">
        <f t="shared" si="25"/>
        <v>16.5253721387159</v>
      </c>
      <c r="BI9" s="57">
        <f t="shared" si="26"/>
        <v>0.00270602638872794</v>
      </c>
      <c r="BJ9" s="57">
        <f t="shared" si="27"/>
        <v>0.0265129192786677</v>
      </c>
      <c r="BK9" s="58">
        <f>RANK(BJ9,$BJ$5:$BJ$25,1)</f>
        <v>5</v>
      </c>
      <c r="BL9" s="59">
        <f>VLOOKUP(B9,[8]市州营业收现率202501完成!$B$1:$AH$28,6,0)</f>
        <v>7855.635759</v>
      </c>
      <c r="BM9" s="63">
        <f>VLOOKUP(B9,[9]市州营业收现率1月完成!$B$1:$AI$28,7,0)</f>
        <v>7425.793437</v>
      </c>
      <c r="BN9" s="24">
        <f>VLOOKUP(B9,[8]市州营业收现率202501完成!$B$1:$AH$28,5,0)</f>
        <v>0.690021848481075</v>
      </c>
      <c r="BO9" s="24">
        <f>VLOOKUP(B9,[9]市州营业收现率1月完成!$B$1:$AI$28,5,0)</f>
        <v>0.646869895463775</v>
      </c>
      <c r="BP9" s="58">
        <f>RANK(BO9,$BO$5:$BO$25,0)</f>
        <v>17</v>
      </c>
    </row>
    <row r="10" s="1" customFormat="1" ht="15" customHeight="1" spans="1:68">
      <c r="A10" s="10">
        <v>6</v>
      </c>
      <c r="B10" s="10" t="s">
        <v>70</v>
      </c>
      <c r="C10" s="11">
        <v>140557.378816239</v>
      </c>
      <c r="D10" s="11">
        <v>15542.302543239</v>
      </c>
      <c r="E10" s="12">
        <v>143827.876373017</v>
      </c>
      <c r="F10" s="12">
        <v>17370.9633730166</v>
      </c>
      <c r="G10" s="13">
        <f t="shared" si="0"/>
        <v>0.0232680602350572</v>
      </c>
      <c r="H10" s="14">
        <f t="shared" si="1"/>
        <v>0.117657008972141</v>
      </c>
      <c r="I10" s="23">
        <f>VLOOKUP(B10,[2]计算结果表!$B$1:$AA$25,13,0)</f>
        <v>6270.208333</v>
      </c>
      <c r="J10" s="23">
        <f>VLOOKUP(B10,[3]计算结果表!$B$1:$AA$25,13,0)</f>
        <v>14395.514599</v>
      </c>
      <c r="K10" s="24">
        <f t="shared" si="2"/>
        <v>1.29585905834048</v>
      </c>
      <c r="L10" s="24">
        <f t="shared" si="3"/>
        <v>0.0446095991957669</v>
      </c>
      <c r="M10" s="24">
        <f t="shared" si="4"/>
        <v>0.100088487447769</v>
      </c>
      <c r="N10" s="25">
        <f>RANK(M10,$M$5:$M$25,1)</f>
        <v>9</v>
      </c>
      <c r="O10" s="24">
        <f t="shared" si="5"/>
        <v>0.0554788882520022</v>
      </c>
      <c r="P10" s="23">
        <f>VLOOKUP(B10,[2]计算结果表!$B$1:$AA$25,15,0)</f>
        <v>3333.757767</v>
      </c>
      <c r="Q10" s="23">
        <f>VLOOKUP(B10,[3]计算结果表!$B$1:$AA$25,15,0)</f>
        <v>9059.106537</v>
      </c>
      <c r="R10" s="24">
        <f t="shared" si="6"/>
        <v>1.71738595607447</v>
      </c>
      <c r="S10" s="24">
        <f t="shared" si="7"/>
        <v>0.214495745255596</v>
      </c>
      <c r="T10" s="24">
        <f t="shared" si="8"/>
        <v>0.521508585475005</v>
      </c>
      <c r="U10" s="25">
        <f>RANK(T10,$T$5:$T$25,1)</f>
        <v>13</v>
      </c>
      <c r="V10" s="24">
        <f t="shared" si="9"/>
        <v>0.307012840219408</v>
      </c>
      <c r="W10" s="31">
        <f>VLOOKUP(B10,[3]计算结果表!$B$1:$T$25,18,0)</f>
        <v>1677.340774</v>
      </c>
      <c r="X10" s="31">
        <f>VLOOKUP(B10,[3]计算结果表!$B$1:$T$25,19,0)</f>
        <v>7381.765763</v>
      </c>
      <c r="Y10" s="37">
        <f>VLOOKUP(B10,[1]分ICT资源型数据!$B$1:$P$23,11,0)</f>
        <v>14290.47638</v>
      </c>
      <c r="Z10" s="37">
        <f>VLOOKUP(B10,[1]分ICT资源型数据!$B$1:$P$23,12,0)</f>
        <v>10162.644729</v>
      </c>
      <c r="AA10" s="24">
        <f t="shared" si="10"/>
        <v>0.107593500404125</v>
      </c>
      <c r="AB10" s="25">
        <f>RANK(AA10,$AA$5:$AA$25,1)</f>
        <v>1</v>
      </c>
      <c r="AC10" s="24">
        <f t="shared" si="11"/>
        <v>0.665832447805067</v>
      </c>
      <c r="AD10" s="25">
        <f>RANK(AC10,$AC$5:$AC$25,1)</f>
        <v>10</v>
      </c>
      <c r="AE10" s="38">
        <f>VLOOKUP(B10,[2]计算结果表!$B$1:$T$25,16,0)</f>
        <v>2936.450566</v>
      </c>
      <c r="AF10" s="38">
        <f>VLOOKUP(B10,[3]计算结果表!$B$1:$T$25,16,0)</f>
        <v>5336.408062</v>
      </c>
      <c r="AG10" s="14">
        <f t="shared" si="12"/>
        <v>0.817298790515379</v>
      </c>
      <c r="AH10" s="14">
        <f t="shared" si="13"/>
        <v>0.0234887715429423</v>
      </c>
      <c r="AI10" s="14">
        <f t="shared" si="14"/>
        <v>0.0421994174569166</v>
      </c>
      <c r="AJ10" s="25">
        <f>RANK(AI10,$AI$5:$AI$25,1)</f>
        <v>13</v>
      </c>
      <c r="AK10" s="14">
        <f t="shared" si="15"/>
        <v>0.0187106459139743</v>
      </c>
      <c r="AL10" s="23">
        <f>VLOOKUP(B10,'[5]查询结果(2025年1月)'!$A$2:$M$29,13,0)</f>
        <v>610.368328</v>
      </c>
      <c r="AM10" s="23">
        <f>VLOOKUP(B10,'[4]查询结果(2026年1月)'!$A$2:$M$29,13,0)</f>
        <v>1961.280653</v>
      </c>
      <c r="AN10" s="24">
        <f t="shared" si="16"/>
        <v>2.21327395775359</v>
      </c>
      <c r="AO10" s="25">
        <f>RANK(AN10,$AN$5:$AN$25,1)</f>
        <v>18</v>
      </c>
      <c r="AP10" s="24">
        <f t="shared" si="17"/>
        <v>0.0973441862828771</v>
      </c>
      <c r="AQ10" s="24">
        <f t="shared" si="18"/>
        <v>0.136242482997881</v>
      </c>
      <c r="AR10" s="25">
        <f>RANK(AQ10,$AQ$5:$AQ$25,1)</f>
        <v>6</v>
      </c>
      <c r="AS10" s="45">
        <f>VLOOKUP(B10,'[7]查询结果(2025年1月)'!$A$2:$M$25,13,0)</f>
        <v>238.629081</v>
      </c>
      <c r="AT10" s="45">
        <f>VLOOKUP(B10,'[6]查询结果(2026年1月)'!$A$2:$M$25,13,0)</f>
        <v>1441.070944</v>
      </c>
      <c r="AU10" s="46">
        <f t="shared" si="19"/>
        <v>0.159074290396548</v>
      </c>
      <c r="AV10" s="47">
        <f>RANK(AU10,$AU$5:$AU$25,1)</f>
        <v>10</v>
      </c>
      <c r="AW10" s="52">
        <f t="shared" si="20"/>
        <v>5.038957774807</v>
      </c>
      <c r="AX10" s="53">
        <f>RANK(AW10,$AW$5:$AW$25,1)</f>
        <v>20</v>
      </c>
      <c r="AY10" s="23">
        <f>VLOOKUP(B10,[2]计算结果表!$B$1:$T$25,17,0)</f>
        <v>8188.527997</v>
      </c>
      <c r="AZ10" s="23">
        <f>VLOOKUP(B10,[3]计算结果表!$B$1:$T$25,17,0)</f>
        <v>7589.480575</v>
      </c>
      <c r="BA10" s="24">
        <f t="shared" si="21"/>
        <v>-0.0731569119894896</v>
      </c>
      <c r="BB10" s="24">
        <f t="shared" si="22"/>
        <v>0.0582575462488203</v>
      </c>
      <c r="BC10" s="24">
        <f t="shared" si="23"/>
        <v>0.0527677997227513</v>
      </c>
      <c r="BD10" s="25">
        <f>RANK(BC10,$BC$5:$BC$25,0)</f>
        <v>16</v>
      </c>
      <c r="BE10" s="24">
        <f t="shared" si="24"/>
        <v>-0.00548974652606898</v>
      </c>
      <c r="BF10" s="55">
        <f>VLOOKUP(B10,[2]计算结果表!$B$1:$T$25,9,0)</f>
        <v>134.97547</v>
      </c>
      <c r="BG10" s="56">
        <f>VLOOKUP(B10,[3]计算结果表!$B$1:$T$25,9,0)</f>
        <v>1061.14525</v>
      </c>
      <c r="BH10" s="57">
        <f t="shared" si="25"/>
        <v>6.86176369676653</v>
      </c>
      <c r="BI10" s="57">
        <f t="shared" si="26"/>
        <v>0.0215264729386465</v>
      </c>
      <c r="BJ10" s="57">
        <f t="shared" si="27"/>
        <v>0.073713603129805</v>
      </c>
      <c r="BK10" s="58">
        <f>RANK(BJ10,$BJ$5:$BJ$25,1)</f>
        <v>20</v>
      </c>
      <c r="BL10" s="59">
        <f>VLOOKUP(B10,[8]市州营业收现率202501完成!$B$1:$AH$28,6,0)</f>
        <v>13183.154878</v>
      </c>
      <c r="BM10" s="63">
        <f>VLOOKUP(B10,[9]市州营业收现率1月完成!$B$1:$AI$28,7,0)</f>
        <v>10685.055096</v>
      </c>
      <c r="BN10" s="24">
        <f>VLOOKUP(B10,[8]市州营业收现率202501完成!$B$1:$AH$28,5,0)</f>
        <v>1.03976101294937</v>
      </c>
      <c r="BO10" s="24">
        <f>VLOOKUP(B10,[9]市州营业收现率1月完成!$B$1:$AI$28,5,0)</f>
        <v>0.904146089858967</v>
      </c>
      <c r="BP10" s="58">
        <f>RANK(BO10,$BO$5:$BO$25,0)</f>
        <v>5</v>
      </c>
    </row>
    <row r="11" s="1" customFormat="1" ht="15" customHeight="1" spans="1:68">
      <c r="A11" s="10">
        <v>7</v>
      </c>
      <c r="B11" s="10" t="s">
        <v>71</v>
      </c>
      <c r="C11" s="11">
        <v>120354.808731422</v>
      </c>
      <c r="D11" s="11">
        <v>12304.329956422</v>
      </c>
      <c r="E11" s="12">
        <v>122765.279060519</v>
      </c>
      <c r="F11" s="12">
        <v>14143.315060519</v>
      </c>
      <c r="G11" s="13">
        <f t="shared" si="0"/>
        <v>0.0200280350615327</v>
      </c>
      <c r="H11" s="14">
        <f t="shared" si="1"/>
        <v>0.149458370395633</v>
      </c>
      <c r="I11" s="23">
        <f>VLOOKUP(B11,[2]计算结果表!$B$1:$AA$25,13,0)</f>
        <v>9749.128204</v>
      </c>
      <c r="J11" s="23">
        <f>VLOOKUP(B11,[3]计算结果表!$B$1:$AA$25,13,0)</f>
        <v>13190.97803</v>
      </c>
      <c r="K11" s="24">
        <f t="shared" si="2"/>
        <v>0.353041805788115</v>
      </c>
      <c r="L11" s="24">
        <f t="shared" si="3"/>
        <v>0.0810032295905657</v>
      </c>
      <c r="M11" s="24">
        <f t="shared" si="4"/>
        <v>0.107448768340251</v>
      </c>
      <c r="N11" s="25">
        <f>RANK(M11,$M$5:$M$25,1)</f>
        <v>14</v>
      </c>
      <c r="O11" s="24">
        <f t="shared" si="5"/>
        <v>0.0264455387496855</v>
      </c>
      <c r="P11" s="23">
        <f>VLOOKUP(B11,[2]计算结果表!$B$1:$AA$25,15,0)</f>
        <v>4880.546845</v>
      </c>
      <c r="Q11" s="23">
        <f>VLOOKUP(B11,[3]计算结果表!$B$1:$AA$25,15,0)</f>
        <v>7633.34064</v>
      </c>
      <c r="R11" s="24">
        <f t="shared" si="6"/>
        <v>0.564033884403788</v>
      </c>
      <c r="S11" s="24">
        <f t="shared" si="7"/>
        <v>0.396652793145611</v>
      </c>
      <c r="T11" s="24">
        <f t="shared" si="8"/>
        <v>0.539713681505154</v>
      </c>
      <c r="U11" s="25">
        <f>RANK(T11,$T$5:$T$25,1)</f>
        <v>15</v>
      </c>
      <c r="V11" s="24">
        <f t="shared" si="9"/>
        <v>0.143060888359543</v>
      </c>
      <c r="W11" s="31">
        <f>VLOOKUP(B11,[3]计算结果表!$B$1:$T$25,18,0)</f>
        <v>1771.257705</v>
      </c>
      <c r="X11" s="31">
        <f>VLOOKUP(B11,[3]计算结果表!$B$1:$T$25,19,0)</f>
        <v>5862.082935</v>
      </c>
      <c r="Y11" s="37">
        <f>VLOOKUP(B11,[1]分ICT资源型数据!$B$1:$P$23,11,0)</f>
        <v>5255.201062</v>
      </c>
      <c r="Z11" s="37">
        <f>VLOOKUP(B11,[1]分ICT资源型数据!$B$1:$P$23,12,0)</f>
        <v>6252.907641</v>
      </c>
      <c r="AA11" s="24">
        <f t="shared" si="10"/>
        <v>0.308961137184745</v>
      </c>
      <c r="AB11" s="25">
        <f>RANK(AA11,$AA$5:$AA$25,1)</f>
        <v>17</v>
      </c>
      <c r="AC11" s="24">
        <f t="shared" si="11"/>
        <v>0.859372364388646</v>
      </c>
      <c r="AD11" s="25">
        <f>RANK(AC11,$AC$5:$AC$25,1)</f>
        <v>17</v>
      </c>
      <c r="AE11" s="38">
        <f>VLOOKUP(B11,[2]计算结果表!$B$1:$T$25,16,0)</f>
        <v>4868.581359</v>
      </c>
      <c r="AF11" s="38">
        <f>VLOOKUP(B11,[3]计算结果表!$B$1:$T$25,16,0)</f>
        <v>5557.63739</v>
      </c>
      <c r="AG11" s="14">
        <f t="shared" si="12"/>
        <v>0.141531173085198</v>
      </c>
      <c r="AH11" s="14">
        <f t="shared" si="13"/>
        <v>0.045058396910375</v>
      </c>
      <c r="AI11" s="14">
        <f t="shared" si="14"/>
        <v>0.0511649503041576</v>
      </c>
      <c r="AJ11" s="25">
        <f>RANK(AI11,$AI$5:$AI$25,1)</f>
        <v>19</v>
      </c>
      <c r="AK11" s="14">
        <f t="shared" si="15"/>
        <v>0.00610655339378263</v>
      </c>
      <c r="AL11" s="23">
        <f>VLOOKUP(B11,'[5]查询结果(2025年1月)'!$A$2:$M$29,13,0)</f>
        <v>1768.932401</v>
      </c>
      <c r="AM11" s="23">
        <f>VLOOKUP(B11,'[4]查询结果(2026年1月)'!$A$2:$M$29,13,0)</f>
        <v>5103.118794</v>
      </c>
      <c r="AN11" s="24">
        <f t="shared" si="16"/>
        <v>1.88485800311823</v>
      </c>
      <c r="AO11" s="25">
        <f>RANK(AN11,$AN$5:$AN$25,1)</f>
        <v>16</v>
      </c>
      <c r="AP11" s="24">
        <f t="shared" si="17"/>
        <v>0.181445188121972</v>
      </c>
      <c r="AQ11" s="24">
        <f t="shared" si="18"/>
        <v>0.386864323660768</v>
      </c>
      <c r="AR11" s="25">
        <f>RANK(AQ11,$AQ$5:$AQ$25,1)</f>
        <v>21</v>
      </c>
      <c r="AS11" s="45">
        <f>VLOOKUP(B11,'[7]查询结果(2025年1月)'!$A$2:$M$25,13,0)</f>
        <v>1076.086921</v>
      </c>
      <c r="AT11" s="45">
        <f>VLOOKUP(B11,'[6]查询结果(2026年1月)'!$A$2:$M$25,13,0)</f>
        <v>2835.79834</v>
      </c>
      <c r="AU11" s="46">
        <f t="shared" si="19"/>
        <v>0.371501610335576</v>
      </c>
      <c r="AV11" s="47">
        <f>RANK(AU11,$AU$5:$AU$25,1)</f>
        <v>21</v>
      </c>
      <c r="AW11" s="52">
        <f t="shared" si="20"/>
        <v>1.63528743325373</v>
      </c>
      <c r="AX11" s="53">
        <f>RANK(AW11,$AW$5:$AW$25,1)</f>
        <v>13</v>
      </c>
      <c r="AY11" s="23">
        <f>VLOOKUP(B11,[2]计算结果表!$B$1:$T$25,17,0)</f>
        <v>7116.786695</v>
      </c>
      <c r="AZ11" s="23">
        <f>VLOOKUP(B11,[3]计算结果表!$B$1:$T$25,17,0)</f>
        <v>7866.558674</v>
      </c>
      <c r="BA11" s="24">
        <f t="shared" si="21"/>
        <v>0.105352599583568</v>
      </c>
      <c r="BB11" s="24">
        <f t="shared" si="22"/>
        <v>0.0591317187074883</v>
      </c>
      <c r="BC11" s="24">
        <f t="shared" si="23"/>
        <v>0.0640780417248273</v>
      </c>
      <c r="BD11" s="25">
        <f>RANK(BC11,$BC$5:$BC$25,0)</f>
        <v>12</v>
      </c>
      <c r="BE11" s="24">
        <f t="shared" si="24"/>
        <v>0.00494632301733899</v>
      </c>
      <c r="BF11" s="55">
        <f>VLOOKUP(B11,[2]计算结果表!$B$1:$T$25,9,0)</f>
        <v>-234.285945</v>
      </c>
      <c r="BG11" s="56">
        <f>VLOOKUP(B11,[3]计算结果表!$B$1:$T$25,9,0)</f>
        <v>415.303132</v>
      </c>
      <c r="BH11" s="57">
        <f t="shared" si="25"/>
        <v>-2.77263357390047</v>
      </c>
      <c r="BI11" s="57">
        <f t="shared" si="26"/>
        <v>-0.0240314764661597</v>
      </c>
      <c r="BJ11" s="57">
        <f t="shared" si="27"/>
        <v>0.0314838771663089</v>
      </c>
      <c r="BK11" s="58">
        <f>RANK(BJ11,$BJ$5:$BJ$25,1)</f>
        <v>7</v>
      </c>
      <c r="BL11" s="59">
        <f>VLOOKUP(B11,[8]市州营业收现率202501完成!$B$1:$AH$28,6,0)</f>
        <v>10732.213658</v>
      </c>
      <c r="BM11" s="63">
        <f>VLOOKUP(B11,[9]市州营业收现率1月完成!$B$1:$AI$28,7,0)</f>
        <v>8970.62972</v>
      </c>
      <c r="BN11" s="24">
        <f>VLOOKUP(B11,[8]市州营业收现率202501完成!$B$1:$AH$28,5,0)</f>
        <v>0.969140325754138</v>
      </c>
      <c r="BO11" s="24">
        <f>VLOOKUP(B11,[9]市州营业收现率1月完成!$B$1:$AI$28,5,0)</f>
        <v>0.954927515354468</v>
      </c>
      <c r="BP11" s="58">
        <f>RANK(BO11,$BO$5:$BO$25,0)</f>
        <v>2</v>
      </c>
    </row>
    <row r="12" s="1" customFormat="1" ht="15" customHeight="1" spans="1:68">
      <c r="A12" s="10">
        <v>8</v>
      </c>
      <c r="B12" s="10" t="s">
        <v>72</v>
      </c>
      <c r="C12" s="11">
        <v>120556.022918018</v>
      </c>
      <c r="D12" s="11">
        <v>16066.6248020181</v>
      </c>
      <c r="E12" s="12">
        <v>122400.418012181</v>
      </c>
      <c r="F12" s="12">
        <v>18070.4180121814</v>
      </c>
      <c r="G12" s="13">
        <f t="shared" si="0"/>
        <v>0.0152990705028255</v>
      </c>
      <c r="H12" s="14">
        <f t="shared" si="1"/>
        <v>0.124717744694679</v>
      </c>
      <c r="I12" s="23">
        <f>VLOOKUP(B12,[2]计算结果表!$B$1:$AA$25,13,0)</f>
        <v>11490.402363</v>
      </c>
      <c r="J12" s="23">
        <f>VLOOKUP(B12,[3]计算结果表!$B$1:$AA$25,13,0)</f>
        <v>15711.189869</v>
      </c>
      <c r="K12" s="24">
        <f t="shared" si="2"/>
        <v>0.367331567046883</v>
      </c>
      <c r="L12" s="24">
        <f t="shared" si="3"/>
        <v>0.0953117238349331</v>
      </c>
      <c r="M12" s="24">
        <f t="shared" si="4"/>
        <v>0.128358955991772</v>
      </c>
      <c r="N12" s="25">
        <f>RANK(M12,$M$5:$M$25,1)</f>
        <v>19</v>
      </c>
      <c r="O12" s="24">
        <f t="shared" si="5"/>
        <v>0.0330472321568386</v>
      </c>
      <c r="P12" s="23">
        <f>VLOOKUP(B12,[2]计算结果表!$B$1:$AA$25,15,0)</f>
        <v>8184.852502</v>
      </c>
      <c r="Q12" s="23">
        <f>VLOOKUP(B12,[3]计算结果表!$B$1:$AA$25,15,0)</f>
        <v>11073.334409</v>
      </c>
      <c r="R12" s="24">
        <f t="shared" si="6"/>
        <v>0.352905798399444</v>
      </c>
      <c r="S12" s="24">
        <f t="shared" si="7"/>
        <v>0.50943198106997</v>
      </c>
      <c r="T12" s="24">
        <f t="shared" si="8"/>
        <v>0.612787949981865</v>
      </c>
      <c r="U12" s="25">
        <f>RANK(T12,$T$5:$T$25,1)</f>
        <v>18</v>
      </c>
      <c r="V12" s="24">
        <f t="shared" si="9"/>
        <v>0.103355968911894</v>
      </c>
      <c r="W12" s="31">
        <f>VLOOKUP(B12,[3]计算结果表!$B$1:$T$25,18,0)</f>
        <v>1443.234807</v>
      </c>
      <c r="X12" s="31">
        <f>VLOOKUP(B12,[3]计算结果表!$B$1:$T$25,19,0)</f>
        <v>9630.099602</v>
      </c>
      <c r="Y12" s="37">
        <f>VLOOKUP(B12,[1]分ICT资源型数据!$B$1:$P$23,11,0)</f>
        <v>5076.341213</v>
      </c>
      <c r="Z12" s="37">
        <f>VLOOKUP(B12,[1]分ICT资源型数据!$B$1:$P$23,12,0)</f>
        <v>9917.685995</v>
      </c>
      <c r="AA12" s="24">
        <f t="shared" si="10"/>
        <v>0.260613931223145</v>
      </c>
      <c r="AB12" s="25">
        <f>RANK(AA12,$AA$5:$AA$25,1)</f>
        <v>14</v>
      </c>
      <c r="AC12" s="24">
        <f t="shared" si="11"/>
        <v>0.890085782740426</v>
      </c>
      <c r="AD12" s="25">
        <f>RANK(AC12,$AC$5:$AC$25,1)</f>
        <v>18</v>
      </c>
      <c r="AE12" s="38">
        <f>VLOOKUP(B12,[2]计算结果表!$B$1:$T$25,16,0)</f>
        <v>3305.549861</v>
      </c>
      <c r="AF12" s="38">
        <f>VLOOKUP(B12,[3]计算结果表!$B$1:$T$25,16,0)</f>
        <v>4637.85546</v>
      </c>
      <c r="AG12" s="14">
        <f t="shared" si="12"/>
        <v>0.403051127656247</v>
      </c>
      <c r="AH12" s="14">
        <f t="shared" si="13"/>
        <v>0.0316352655924988</v>
      </c>
      <c r="AI12" s="14">
        <f t="shared" si="14"/>
        <v>0.0444537090002877</v>
      </c>
      <c r="AJ12" s="25">
        <f>RANK(AI12,$AI$5:$AI$25,1)</f>
        <v>14</v>
      </c>
      <c r="AK12" s="14">
        <f t="shared" si="15"/>
        <v>0.0128184434077889</v>
      </c>
      <c r="AL12" s="23">
        <f>VLOOKUP(B12,'[5]查询结果(2025年1月)'!$A$2:$M$29,13,0)</f>
        <v>1599.657404</v>
      </c>
      <c r="AM12" s="23">
        <f>VLOOKUP(B12,'[4]查询结果(2026年1月)'!$A$2:$M$29,13,0)</f>
        <v>3764.135697</v>
      </c>
      <c r="AN12" s="24">
        <f t="shared" si="16"/>
        <v>1.35308865985157</v>
      </c>
      <c r="AO12" s="25">
        <f>RANK(AN12,$AN$5:$AN$25,1)</f>
        <v>13</v>
      </c>
      <c r="AP12" s="24">
        <f t="shared" si="17"/>
        <v>0.139216831009419</v>
      </c>
      <c r="AQ12" s="24">
        <f t="shared" si="18"/>
        <v>0.23958310786041</v>
      </c>
      <c r="AR12" s="25">
        <f>RANK(AQ12,$AQ$5:$AQ$25,1)</f>
        <v>17</v>
      </c>
      <c r="AS12" s="45">
        <f>VLOOKUP(B12,'[7]查询结果(2025年1月)'!$A$2:$M$25,13,0)</f>
        <v>1254.273028</v>
      </c>
      <c r="AT12" s="45">
        <f>VLOOKUP(B12,'[6]查询结果(2026年1月)'!$A$2:$M$25,13,0)</f>
        <v>2836.518222</v>
      </c>
      <c r="AU12" s="46">
        <f t="shared" si="19"/>
        <v>0.256157550854292</v>
      </c>
      <c r="AV12" s="47">
        <f>RANK(AU12,$AU$5:$AU$25,1)</f>
        <v>18</v>
      </c>
      <c r="AW12" s="52">
        <f t="shared" si="20"/>
        <v>1.26148387047991</v>
      </c>
      <c r="AX12" s="53">
        <f>RANK(AW12,$AW$5:$AW$25,1)</f>
        <v>10</v>
      </c>
      <c r="AY12" s="23">
        <f>VLOOKUP(B12,[2]计算结果表!$B$1:$T$25,17,0)</f>
        <v>7314.089866</v>
      </c>
      <c r="AZ12" s="23">
        <f>VLOOKUP(B12,[3]计算结果表!$B$1:$T$25,17,0)</f>
        <v>6561.178762</v>
      </c>
      <c r="BA12" s="24">
        <f t="shared" si="21"/>
        <v>-0.102939821330328</v>
      </c>
      <c r="BB12" s="24">
        <f t="shared" si="22"/>
        <v>0.060669634655863</v>
      </c>
      <c r="BC12" s="24">
        <f t="shared" si="23"/>
        <v>0.053604218584834</v>
      </c>
      <c r="BD12" s="25">
        <f>RANK(BC12,$BC$5:$BC$25,0)</f>
        <v>15</v>
      </c>
      <c r="BE12" s="24">
        <f t="shared" si="24"/>
        <v>-0.00706541607102904</v>
      </c>
      <c r="BF12" s="55">
        <f>VLOOKUP(B12,[2]计算结果表!$B$1:$T$25,9,0)</f>
        <v>100.806153</v>
      </c>
      <c r="BG12" s="56">
        <f>VLOOKUP(B12,[3]计算结果表!$B$1:$T$25,9,0)</f>
        <v>621.414556</v>
      </c>
      <c r="BH12" s="57">
        <f t="shared" si="25"/>
        <v>5.16445065610231</v>
      </c>
      <c r="BI12" s="57">
        <f t="shared" si="26"/>
        <v>0.00877307424190851</v>
      </c>
      <c r="BJ12" s="57">
        <f t="shared" si="27"/>
        <v>0.0395523547981635</v>
      </c>
      <c r="BK12" s="58">
        <f>RANK(BJ12,$BJ$5:$BJ$25,1)</f>
        <v>11</v>
      </c>
      <c r="BL12" s="59">
        <f>VLOOKUP(B12,[8]市州营业收现率202501完成!$B$1:$AH$28,6,0)</f>
        <v>9811.207571</v>
      </c>
      <c r="BM12" s="63">
        <f>VLOOKUP(B12,[9]市州营业收现率1月完成!$B$1:$AI$28,7,0)</f>
        <v>8738.661817</v>
      </c>
      <c r="BN12" s="24">
        <f>VLOOKUP(B12,[8]市州营业收现率202501完成!$B$1:$AH$28,5,0)</f>
        <v>0.909117489110285</v>
      </c>
      <c r="BO12" s="24">
        <f>VLOOKUP(B12,[9]市州营业收现率1月完成!$B$1:$AI$28,5,0)</f>
        <v>0.896075408366569</v>
      </c>
      <c r="BP12" s="58">
        <f>RANK(BO12,$BO$5:$BO$25,0)</f>
        <v>6</v>
      </c>
    </row>
    <row r="13" s="1" customFormat="1" ht="15" customHeight="1" spans="1:68">
      <c r="A13" s="10">
        <v>9</v>
      </c>
      <c r="B13" s="10" t="s">
        <v>73</v>
      </c>
      <c r="C13" s="11">
        <v>120948.418683953</v>
      </c>
      <c r="D13" s="11">
        <v>19113.5978109531</v>
      </c>
      <c r="E13" s="12">
        <v>121392.756101869</v>
      </c>
      <c r="F13" s="12">
        <v>21043.9591018691</v>
      </c>
      <c r="G13" s="13">
        <f t="shared" si="0"/>
        <v>0.00367377616632658</v>
      </c>
      <c r="H13" s="14">
        <f t="shared" si="1"/>
        <v>0.100994135693794</v>
      </c>
      <c r="I13" s="23">
        <f>VLOOKUP(B13,[2]计算结果表!$B$1:$AA$25,13,0)</f>
        <v>4615.23916</v>
      </c>
      <c r="J13" s="23">
        <f>VLOOKUP(B13,[3]计算结果表!$B$1:$AA$25,13,0)</f>
        <v>11098.398525</v>
      </c>
      <c r="K13" s="24">
        <f t="shared" si="2"/>
        <v>1.40472879957969</v>
      </c>
      <c r="L13" s="24">
        <f t="shared" si="3"/>
        <v>0.0381587391568959</v>
      </c>
      <c r="M13" s="24">
        <f t="shared" si="4"/>
        <v>0.0914255420289376</v>
      </c>
      <c r="N13" s="25">
        <f>RANK(M13,$M$5:$M$25,1)</f>
        <v>8</v>
      </c>
      <c r="O13" s="24">
        <f t="shared" si="5"/>
        <v>0.0532668028720417</v>
      </c>
      <c r="P13" s="23">
        <f>VLOOKUP(B13,[2]计算结果表!$B$1:$AA$25,15,0)</f>
        <v>2197.110536</v>
      </c>
      <c r="Q13" s="23">
        <f>VLOOKUP(B13,[3]计算结果表!$B$1:$AA$25,15,0)</f>
        <v>8269.843237</v>
      </c>
      <c r="R13" s="24">
        <f t="shared" si="6"/>
        <v>2.76396321509424</v>
      </c>
      <c r="S13" s="24">
        <f t="shared" si="7"/>
        <v>0.114950129103425</v>
      </c>
      <c r="T13" s="24">
        <f t="shared" si="8"/>
        <v>0.392979438753304</v>
      </c>
      <c r="U13" s="25">
        <f>RANK(T13,$T$5:$T$25,1)</f>
        <v>7</v>
      </c>
      <c r="V13" s="24">
        <f t="shared" si="9"/>
        <v>0.278029309649879</v>
      </c>
      <c r="W13" s="31">
        <f>VLOOKUP(B13,[3]计算结果表!$B$1:$T$25,18,0)</f>
        <v>683.454743</v>
      </c>
      <c r="X13" s="31">
        <f>VLOOKUP(B13,[3]计算结果表!$B$1:$T$25,19,0)</f>
        <v>7586.388494</v>
      </c>
      <c r="Y13" s="37">
        <f>VLOOKUP(B13,[1]分ICT资源型数据!$B$1:$P$23,11,0)</f>
        <v>4509.306308</v>
      </c>
      <c r="Z13" s="37">
        <f>VLOOKUP(B13,[1]分ICT资源型数据!$B$1:$P$23,12,0)</f>
        <v>11160.163434</v>
      </c>
      <c r="AA13" s="24">
        <f t="shared" si="10"/>
        <v>0.13893493550701</v>
      </c>
      <c r="AB13" s="25">
        <f>RANK(AA13,$AA$5:$AA$25,1)</f>
        <v>4</v>
      </c>
      <c r="AC13" s="24">
        <f t="shared" si="11"/>
        <v>0.62312613018256</v>
      </c>
      <c r="AD13" s="25">
        <f>RANK(AC13,$AC$5:$AC$25,1)</f>
        <v>8</v>
      </c>
      <c r="AE13" s="38">
        <f>VLOOKUP(B13,[2]计算结果表!$B$1:$T$25,16,0)</f>
        <v>2418.128624</v>
      </c>
      <c r="AF13" s="38">
        <f>VLOOKUP(B13,[3]计算结果表!$B$1:$T$25,16,0)</f>
        <v>2828.555288</v>
      </c>
      <c r="AG13" s="14">
        <f t="shared" si="12"/>
        <v>0.169729045811088</v>
      </c>
      <c r="AH13" s="14">
        <f t="shared" si="13"/>
        <v>0.0237455970685675</v>
      </c>
      <c r="AI13" s="14">
        <f t="shared" si="14"/>
        <v>0.0281872366442022</v>
      </c>
      <c r="AJ13" s="25">
        <f>RANK(AI13,$AI$5:$AI$25,1)</f>
        <v>7</v>
      </c>
      <c r="AK13" s="14">
        <f t="shared" si="15"/>
        <v>0.00444163957563468</v>
      </c>
      <c r="AL13" s="23">
        <f>VLOOKUP(B13,'[5]查询结果(2025年1月)'!$A$2:$M$29,13,0)</f>
        <v>205.440805</v>
      </c>
      <c r="AM13" s="23">
        <f>VLOOKUP(B13,'[4]查询结果(2026年1月)'!$A$2:$M$29,13,0)</f>
        <v>866.136915</v>
      </c>
      <c r="AN13" s="24">
        <f t="shared" si="16"/>
        <v>3.21599260672679</v>
      </c>
      <c r="AO13" s="25">
        <f>RANK(AN13,$AN$5:$AN$25,1)</f>
        <v>20</v>
      </c>
      <c r="AP13" s="24">
        <f t="shared" si="17"/>
        <v>0.0445135772768924</v>
      </c>
      <c r="AQ13" s="24">
        <f t="shared" si="18"/>
        <v>0.0780416123145118</v>
      </c>
      <c r="AR13" s="25">
        <f>RANK(AQ13,$AQ$5:$AQ$25,1)</f>
        <v>1</v>
      </c>
      <c r="AS13" s="45">
        <f>VLOOKUP(B13,'[7]查询结果(2025年1月)'!$A$2:$M$25,13,0)</f>
        <v>105.00535</v>
      </c>
      <c r="AT13" s="45">
        <f>VLOOKUP(B13,'[6]查询结果(2026年1月)'!$A$2:$M$25,13,0)</f>
        <v>455.791905</v>
      </c>
      <c r="AU13" s="46">
        <f t="shared" si="19"/>
        <v>0.0551149389338781</v>
      </c>
      <c r="AV13" s="47">
        <f>RANK(AU13,$AU$5:$AU$25,1)</f>
        <v>1</v>
      </c>
      <c r="AW13" s="52">
        <f t="shared" si="20"/>
        <v>3.34065411905203</v>
      </c>
      <c r="AX13" s="53">
        <f>RANK(AW13,$AW$5:$AW$25,1)</f>
        <v>19</v>
      </c>
      <c r="AY13" s="23">
        <f>VLOOKUP(B13,[2]计算结果表!$B$1:$T$25,17,0)</f>
        <v>9778.922429</v>
      </c>
      <c r="AZ13" s="23">
        <f>VLOOKUP(B13,[3]计算结果表!$B$1:$T$25,17,0)</f>
        <v>6238.16923</v>
      </c>
      <c r="BA13" s="24">
        <f t="shared" si="21"/>
        <v>-0.362080098774449</v>
      </c>
      <c r="BB13" s="24">
        <f t="shared" si="22"/>
        <v>0.0808520072887686</v>
      </c>
      <c r="BC13" s="24">
        <f t="shared" si="23"/>
        <v>0.0513883153354317</v>
      </c>
      <c r="BD13" s="25">
        <f>RANK(BC13,$BC$5:$BC$25,0)</f>
        <v>17</v>
      </c>
      <c r="BE13" s="24">
        <f t="shared" si="24"/>
        <v>-0.0294636919533368</v>
      </c>
      <c r="BF13" s="55">
        <f>VLOOKUP(B13,[2]计算结果表!$B$1:$T$25,9,0)</f>
        <v>-10.857533</v>
      </c>
      <c r="BG13" s="56">
        <f>VLOOKUP(B13,[3]计算结果表!$B$1:$T$25,9,0)</f>
        <v>515.253114</v>
      </c>
      <c r="BH13" s="57">
        <f t="shared" si="25"/>
        <v>-48.4558183705267</v>
      </c>
      <c r="BI13" s="57">
        <f t="shared" si="26"/>
        <v>-0.00235253962440378</v>
      </c>
      <c r="BJ13" s="57">
        <f t="shared" si="27"/>
        <v>0.0464258976499494</v>
      </c>
      <c r="BK13" s="58">
        <f>RANK(BJ13,$BJ$5:$BJ$25,1)</f>
        <v>15</v>
      </c>
      <c r="BL13" s="59">
        <f>VLOOKUP(B13,[8]市州营业收现率202501完成!$B$1:$AH$28,6,0)</f>
        <v>10232.114237</v>
      </c>
      <c r="BM13" s="63">
        <f>VLOOKUP(B13,[9]市州营业收现率1月完成!$B$1:$AI$28,7,0)</f>
        <v>7293.089816</v>
      </c>
      <c r="BN13" s="24">
        <f>VLOOKUP(B13,[8]市州营业收现率202501完成!$B$1:$AH$28,5,0)</f>
        <v>0.935366919999747</v>
      </c>
      <c r="BO13" s="24">
        <f>VLOOKUP(B13,[9]市州营业收现率1月完成!$B$1:$AI$28,5,0)</f>
        <v>0.792244883021294</v>
      </c>
      <c r="BP13" s="58">
        <f>RANK(BO13,$BO$5:$BO$25,0)</f>
        <v>13</v>
      </c>
    </row>
    <row r="14" s="1" customFormat="1" ht="15" customHeight="1" spans="1:68">
      <c r="A14" s="10">
        <v>10</v>
      </c>
      <c r="B14" s="10" t="s">
        <v>74</v>
      </c>
      <c r="C14" s="11">
        <v>108454.177515746</v>
      </c>
      <c r="D14" s="11">
        <v>14837.5039077463</v>
      </c>
      <c r="E14" s="12">
        <v>112086.049165461</v>
      </c>
      <c r="F14" s="12">
        <v>18088.0491654614</v>
      </c>
      <c r="G14" s="13">
        <f t="shared" si="0"/>
        <v>0.0334876141510334</v>
      </c>
      <c r="H14" s="14">
        <f t="shared" si="1"/>
        <v>0.219076286545614</v>
      </c>
      <c r="I14" s="23">
        <f>VLOOKUP(B14,[2]计算结果表!$B$1:$AA$25,13,0)</f>
        <v>9289.142028</v>
      </c>
      <c r="J14" s="23">
        <f>VLOOKUP(B14,[3]计算结果表!$B$1:$AA$25,13,0)</f>
        <v>12355.075584</v>
      </c>
      <c r="K14" s="24">
        <f t="shared" si="2"/>
        <v>0.330055622656909</v>
      </c>
      <c r="L14" s="24">
        <f t="shared" si="3"/>
        <v>0.085650384713409</v>
      </c>
      <c r="M14" s="24">
        <f t="shared" si="4"/>
        <v>0.110228486738448</v>
      </c>
      <c r="N14" s="25">
        <f>RANK(M14,$M$5:$M$25,1)</f>
        <v>17</v>
      </c>
      <c r="O14" s="24">
        <f t="shared" si="5"/>
        <v>0.0245781020250386</v>
      </c>
      <c r="P14" s="23">
        <f>VLOOKUP(B14,[2]计算结果表!$B$1:$AA$25,15,0)</f>
        <v>6331.734578</v>
      </c>
      <c r="Q14" s="23">
        <f>VLOOKUP(B14,[3]计算结果表!$B$1:$AA$25,15,0)</f>
        <v>9253.823733</v>
      </c>
      <c r="R14" s="24">
        <f t="shared" si="6"/>
        <v>0.461498996681411</v>
      </c>
      <c r="S14" s="24">
        <f t="shared" si="7"/>
        <v>0.426738528081826</v>
      </c>
      <c r="T14" s="24">
        <f t="shared" si="8"/>
        <v>0.511598771561828</v>
      </c>
      <c r="U14" s="25">
        <f>RANK(T14,$T$5:$T$25,1)</f>
        <v>12</v>
      </c>
      <c r="V14" s="24">
        <f t="shared" si="9"/>
        <v>0.0848602434800018</v>
      </c>
      <c r="W14" s="31">
        <f>VLOOKUP(B14,[3]计算结果表!$B$1:$T$25,18,0)</f>
        <v>2539.396814</v>
      </c>
      <c r="X14" s="31">
        <f>VLOOKUP(B14,[3]计算结果表!$B$1:$T$25,19,0)</f>
        <v>6714.426919</v>
      </c>
      <c r="Y14" s="37">
        <f>VLOOKUP(B14,[1]分ICT资源型数据!$B$1:$P$23,11,0)</f>
        <v>6173.375624</v>
      </c>
      <c r="Z14" s="37">
        <f>VLOOKUP(B14,[1]分ICT资源型数据!$B$1:$P$23,12,0)</f>
        <v>8441.601857</v>
      </c>
      <c r="AA14" s="24">
        <f t="shared" si="10"/>
        <v>0.377067678140904</v>
      </c>
      <c r="AB14" s="25">
        <f>RANK(AA14,$AA$5:$AA$25,1)</f>
        <v>19</v>
      </c>
      <c r="AC14" s="24">
        <f t="shared" si="11"/>
        <v>0.729114147608474</v>
      </c>
      <c r="AD14" s="25">
        <f>RANK(AC14,$AC$5:$AC$25,1)</f>
        <v>14</v>
      </c>
      <c r="AE14" s="38">
        <f>VLOOKUP(B14,[2]计算结果表!$B$1:$T$25,16,0)</f>
        <v>2957.40745</v>
      </c>
      <c r="AF14" s="38">
        <f>VLOOKUP(B14,[3]计算结果表!$B$1:$T$25,16,0)</f>
        <v>3101.251851</v>
      </c>
      <c r="AG14" s="14">
        <f t="shared" si="12"/>
        <v>0.0486386821673828</v>
      </c>
      <c r="AH14" s="14">
        <f t="shared" si="13"/>
        <v>0.031590605989522</v>
      </c>
      <c r="AI14" s="14">
        <f t="shared" si="14"/>
        <v>0.0329927429413393</v>
      </c>
      <c r="AJ14" s="25">
        <f>RANK(AI14,$AI$5:$AI$25,1)</f>
        <v>8</v>
      </c>
      <c r="AK14" s="14">
        <f t="shared" si="15"/>
        <v>0.00140213695181733</v>
      </c>
      <c r="AL14" s="23">
        <f>VLOOKUP(B14,'[5]查询结果(2025年1月)'!$A$2:$M$29,13,0)</f>
        <v>810.33608</v>
      </c>
      <c r="AM14" s="23">
        <f>VLOOKUP(B14,'[4]查询结果(2026年1月)'!$A$2:$M$29,13,0)</f>
        <v>2144.387607</v>
      </c>
      <c r="AN14" s="24">
        <f t="shared" si="16"/>
        <v>1.64629412403802</v>
      </c>
      <c r="AO14" s="25">
        <f>RANK(AN14,$AN$5:$AN$25,1)</f>
        <v>15</v>
      </c>
      <c r="AP14" s="24">
        <f t="shared" si="17"/>
        <v>0.087234760493211</v>
      </c>
      <c r="AQ14" s="24">
        <f t="shared" si="18"/>
        <v>0.173563293273334</v>
      </c>
      <c r="AR14" s="25">
        <f>RANK(AQ14,$AQ$5:$AQ$25,1)</f>
        <v>9</v>
      </c>
      <c r="AS14" s="45">
        <f>VLOOKUP(B14,'[7]查询结果(2025年1月)'!$A$2:$M$25,13,0)</f>
        <v>567.46448</v>
      </c>
      <c r="AT14" s="45">
        <f>VLOOKUP(B14,'[6]查询结果(2026年1月)'!$A$2:$M$25,13,0)</f>
        <v>1702.723082</v>
      </c>
      <c r="AU14" s="46">
        <f t="shared" si="19"/>
        <v>0.184002108871809</v>
      </c>
      <c r="AV14" s="47">
        <f>RANK(AU14,$AU$5:$AU$25,1)</f>
        <v>14</v>
      </c>
      <c r="AW14" s="52">
        <f t="shared" si="20"/>
        <v>2.00058090331927</v>
      </c>
      <c r="AX14" s="53">
        <f>RANK(AW14,$AW$5:$AW$25,1)</f>
        <v>15</v>
      </c>
      <c r="AY14" s="23">
        <f>VLOOKUP(B14,[2]计算结果表!$B$1:$T$25,17,0)</f>
        <v>9124.646781</v>
      </c>
      <c r="AZ14" s="23">
        <f>VLOOKUP(B14,[3]计算结果表!$B$1:$T$25,17,0)</f>
        <v>8501.270212</v>
      </c>
      <c r="BA14" s="24">
        <f t="shared" si="21"/>
        <v>-0.0683178849506855</v>
      </c>
      <c r="BB14" s="24">
        <f t="shared" si="22"/>
        <v>0.0841336589332876</v>
      </c>
      <c r="BC14" s="24">
        <f t="shared" si="23"/>
        <v>0.0758459261906043</v>
      </c>
      <c r="BD14" s="25">
        <f>RANK(BC14,$BC$5:$BC$25,0)</f>
        <v>8</v>
      </c>
      <c r="BE14" s="24">
        <f t="shared" si="24"/>
        <v>-0.00828773274268327</v>
      </c>
      <c r="BF14" s="55">
        <f>VLOOKUP(B14,[2]计算结果表!$B$1:$T$25,9,0)</f>
        <v>-16.880975</v>
      </c>
      <c r="BG14" s="56">
        <f>VLOOKUP(B14,[3]计算结果表!$B$1:$T$25,9,0)</f>
        <v>531.167182</v>
      </c>
      <c r="BH14" s="57">
        <f t="shared" si="25"/>
        <v>-32.4654326542158</v>
      </c>
      <c r="BI14" s="57">
        <f t="shared" si="26"/>
        <v>-0.00181728032030473</v>
      </c>
      <c r="BJ14" s="57">
        <f t="shared" si="27"/>
        <v>0.0429918197091298</v>
      </c>
      <c r="BK14" s="58">
        <f>RANK(BJ14,$BJ$5:$BJ$25,1)</f>
        <v>12</v>
      </c>
      <c r="BL14" s="59">
        <f>VLOOKUP(B14,[8]市州营业收现率202501完成!$B$1:$AH$28,6,0)</f>
        <v>7485.979929</v>
      </c>
      <c r="BM14" s="63">
        <f>VLOOKUP(B14,[9]市州营业收现率1月完成!$B$1:$AI$28,7,0)</f>
        <v>6405.629972</v>
      </c>
      <c r="BN14" s="24">
        <f>VLOOKUP(B14,[8]市州营业收现率202501完成!$B$1:$AH$28,5,0)</f>
        <v>0.813230829800425</v>
      </c>
      <c r="BO14" s="24">
        <f>VLOOKUP(B14,[9]市州营业收现率1月完成!$B$1:$AI$28,5,0)</f>
        <v>0.741694942623532</v>
      </c>
      <c r="BP14" s="58">
        <f>RANK(BO14,$BO$5:$BO$25,0)</f>
        <v>15</v>
      </c>
    </row>
    <row r="15" s="1" customFormat="1" ht="15" customHeight="1" spans="1:68">
      <c r="A15" s="10">
        <v>11</v>
      </c>
      <c r="B15" s="10" t="s">
        <v>75</v>
      </c>
      <c r="C15" s="11">
        <v>87486.8093159926</v>
      </c>
      <c r="D15" s="11">
        <v>8336.97699699262</v>
      </c>
      <c r="E15" s="12">
        <v>88473.8785944045</v>
      </c>
      <c r="F15" s="12">
        <v>9659.87859440452</v>
      </c>
      <c r="G15" s="13">
        <f t="shared" si="0"/>
        <v>0.0112824925966462</v>
      </c>
      <c r="H15" s="14">
        <f t="shared" si="1"/>
        <v>0.158678811023361</v>
      </c>
      <c r="I15" s="23">
        <f>VLOOKUP(B15,[2]计算结果表!$B$1:$AA$25,13,0)</f>
        <v>6617.000608</v>
      </c>
      <c r="J15" s="23">
        <f>VLOOKUP(B15,[3]计算结果表!$B$1:$AA$25,13,0)</f>
        <v>7491.429624</v>
      </c>
      <c r="K15" s="24">
        <f t="shared" si="2"/>
        <v>0.132148849275125</v>
      </c>
      <c r="L15" s="24">
        <f t="shared" si="3"/>
        <v>0.0756342660080348</v>
      </c>
      <c r="M15" s="24">
        <f t="shared" si="4"/>
        <v>0.0846739144142573</v>
      </c>
      <c r="N15" s="25">
        <f>RANK(M15,$M$5:$M$25,1)</f>
        <v>6</v>
      </c>
      <c r="O15" s="24">
        <f t="shared" si="5"/>
        <v>0.00903964840622255</v>
      </c>
      <c r="P15" s="23">
        <f>VLOOKUP(B15,[2]计算结果表!$B$1:$AA$25,15,0)</f>
        <v>4137.440482</v>
      </c>
      <c r="Q15" s="23">
        <f>VLOOKUP(B15,[3]计算结果表!$B$1:$AA$25,15,0)</f>
        <v>4495.838504</v>
      </c>
      <c r="R15" s="24">
        <f t="shared" si="6"/>
        <v>0.0866231245039575</v>
      </c>
      <c r="S15" s="24">
        <f t="shared" si="7"/>
        <v>0.496275866359292</v>
      </c>
      <c r="T15" s="24">
        <f t="shared" si="8"/>
        <v>0.465413561885158</v>
      </c>
      <c r="U15" s="25">
        <f>RANK(T15,$T$5:$T$25,1)</f>
        <v>10</v>
      </c>
      <c r="V15" s="24">
        <f t="shared" si="9"/>
        <v>-0.030862304474134</v>
      </c>
      <c r="W15" s="31">
        <f>VLOOKUP(B15,[3]计算结果表!$B$1:$T$25,18,0)</f>
        <v>698.684226</v>
      </c>
      <c r="X15" s="31">
        <f>VLOOKUP(B15,[3]计算结果表!$B$1:$T$25,19,0)</f>
        <v>3797.154278</v>
      </c>
      <c r="Y15" s="37">
        <f>VLOOKUP(B15,[1]分ICT资源型数据!$B$1:$P$23,11,0)</f>
        <v>2930.543429</v>
      </c>
      <c r="Z15" s="37">
        <f>VLOOKUP(B15,[1]分ICT资源型数据!$B$1:$P$23,12,0)</f>
        <v>5194.150831</v>
      </c>
      <c r="AA15" s="24">
        <f t="shared" si="10"/>
        <v>0.218546681193033</v>
      </c>
      <c r="AB15" s="25">
        <f>RANK(AA15,$AA$5:$AA$25,1)</f>
        <v>11</v>
      </c>
      <c r="AC15" s="24">
        <f t="shared" si="11"/>
        <v>0.670123927487722</v>
      </c>
      <c r="AD15" s="25">
        <f>RANK(AC15,$AC$5:$AC$25,1)</f>
        <v>11</v>
      </c>
      <c r="AE15" s="38">
        <f>VLOOKUP(B15,[2]计算结果表!$B$1:$T$25,16,0)</f>
        <v>2479.560126</v>
      </c>
      <c r="AF15" s="38">
        <f>VLOOKUP(B15,[3]计算结果表!$B$1:$T$25,16,0)</f>
        <v>2995.59112</v>
      </c>
      <c r="AG15" s="14">
        <f t="shared" si="12"/>
        <v>0.208113926574733</v>
      </c>
      <c r="AH15" s="14">
        <f t="shared" si="13"/>
        <v>0.0313274210867125</v>
      </c>
      <c r="AI15" s="14">
        <f t="shared" si="14"/>
        <v>0.0380083629811962</v>
      </c>
      <c r="AJ15" s="25">
        <f>RANK(AI15,$AI$5:$AI$25,1)</f>
        <v>11</v>
      </c>
      <c r="AK15" s="14">
        <f t="shared" si="15"/>
        <v>0.00668094189448373</v>
      </c>
      <c r="AL15" s="23">
        <f>VLOOKUP(B15,'[5]查询结果(2025年1月)'!$A$2:$M$29,13,0)</f>
        <v>1930.601631</v>
      </c>
      <c r="AM15" s="23">
        <f>VLOOKUP(B15,'[4]查询结果(2026年1月)'!$A$2:$M$29,13,0)</f>
        <v>1121.702666</v>
      </c>
      <c r="AN15" s="24">
        <f t="shared" si="16"/>
        <v>-0.41898802529293</v>
      </c>
      <c r="AO15" s="25">
        <f>RANK(AN15,$AN$5:$AN$25,1)</f>
        <v>2</v>
      </c>
      <c r="AP15" s="24">
        <f t="shared" si="17"/>
        <v>0.291763858789115</v>
      </c>
      <c r="AQ15" s="24">
        <f t="shared" si="18"/>
        <v>0.14973145611706</v>
      </c>
      <c r="AR15" s="25">
        <f>RANK(AQ15,$AQ$5:$AQ$25,1)</f>
        <v>7</v>
      </c>
      <c r="AS15" s="45">
        <f>VLOOKUP(B15,'[7]查询结果(2025年1月)'!$A$2:$M$25,13,0)</f>
        <v>1676.539645</v>
      </c>
      <c r="AT15" s="45">
        <f>VLOOKUP(B15,'[6]查询结果(2026年1月)'!$A$2:$M$25,13,0)</f>
        <v>825.927092</v>
      </c>
      <c r="AU15" s="46">
        <f t="shared" si="19"/>
        <v>0.183709243840757</v>
      </c>
      <c r="AV15" s="47">
        <f>RANK(AU15,$AU$5:$AU$25,1)</f>
        <v>13</v>
      </c>
      <c r="AW15" s="52">
        <f t="shared" si="20"/>
        <v>-0.507362027218867</v>
      </c>
      <c r="AX15" s="53">
        <f>RANK(AW15,$AW$5:$AW$25,1)</f>
        <v>2</v>
      </c>
      <c r="AY15" s="23">
        <f>VLOOKUP(B15,[2]计算结果表!$B$1:$T$25,17,0)</f>
        <v>5396.826484</v>
      </c>
      <c r="AZ15" s="23">
        <f>VLOOKUP(B15,[3]计算结果表!$B$1:$T$25,17,0)</f>
        <v>5149.124123</v>
      </c>
      <c r="BA15" s="24">
        <f t="shared" si="21"/>
        <v>-0.0458977811746153</v>
      </c>
      <c r="BB15" s="24">
        <f t="shared" si="22"/>
        <v>0.061687316364542</v>
      </c>
      <c r="BC15" s="24">
        <f t="shared" si="23"/>
        <v>0.0581993714393986</v>
      </c>
      <c r="BD15" s="25">
        <f>RANK(BC15,$BC$5:$BC$25,0)</f>
        <v>14</v>
      </c>
      <c r="BE15" s="24">
        <f t="shared" si="24"/>
        <v>-0.0034879449251435</v>
      </c>
      <c r="BF15" s="55">
        <f>VLOOKUP(B15,[2]计算结果表!$B$1:$T$25,9,0)</f>
        <v>64.14032</v>
      </c>
      <c r="BG15" s="56">
        <f>VLOOKUP(B15,[3]计算结果表!$B$1:$T$25,9,0)</f>
        <v>381.137657</v>
      </c>
      <c r="BH15" s="57">
        <f t="shared" si="25"/>
        <v>4.94224751295285</v>
      </c>
      <c r="BI15" s="57">
        <f t="shared" si="26"/>
        <v>0.00969326191725809</v>
      </c>
      <c r="BJ15" s="57">
        <f t="shared" si="27"/>
        <v>0.0508764916884441</v>
      </c>
      <c r="BK15" s="58">
        <f>RANK(BJ15,$BJ$5:$BJ$25,1)</f>
        <v>17</v>
      </c>
      <c r="BL15" s="59">
        <f>VLOOKUP(B15,[8]市州营业收现率202501完成!$B$1:$AH$28,6,0)</f>
        <v>7757.634491</v>
      </c>
      <c r="BM15" s="63">
        <f>VLOOKUP(B15,[9]市州营业收现率1月完成!$B$1:$AI$28,7,0)</f>
        <v>6738.054362</v>
      </c>
      <c r="BN15" s="24">
        <f>VLOOKUP(B15,[8]市州营业收现率202501完成!$B$1:$AH$28,5,0)</f>
        <v>1.05797478399531</v>
      </c>
      <c r="BO15" s="24">
        <f>VLOOKUP(B15,[9]市州营业收现率1月完成!$B$1:$AI$28,5,0)</f>
        <v>0.939512741721754</v>
      </c>
      <c r="BP15" s="58">
        <f>RANK(BO15,$BO$5:$BO$25,0)</f>
        <v>3</v>
      </c>
    </row>
    <row r="16" s="1" customFormat="1" ht="15" customHeight="1" spans="1:68">
      <c r="A16" s="10">
        <v>12</v>
      </c>
      <c r="B16" s="10" t="s">
        <v>76</v>
      </c>
      <c r="C16" s="11">
        <v>77707.532493087</v>
      </c>
      <c r="D16" s="11">
        <v>7596.70859308697</v>
      </c>
      <c r="E16" s="12">
        <v>78754.2696767902</v>
      </c>
      <c r="F16" s="12">
        <v>8513.2696767902</v>
      </c>
      <c r="G16" s="13">
        <f t="shared" si="0"/>
        <v>0.0134702151788995</v>
      </c>
      <c r="H16" s="14">
        <f t="shared" si="1"/>
        <v>0.120652394714377</v>
      </c>
      <c r="I16" s="23">
        <f>VLOOKUP(B16,[2]计算结果表!$B$1:$AA$25,13,0)</f>
        <v>8943.0168</v>
      </c>
      <c r="J16" s="23">
        <f>VLOOKUP(B16,[3]计算结果表!$B$1:$AA$25,13,0)</f>
        <v>11348.610124</v>
      </c>
      <c r="K16" s="24">
        <f t="shared" si="2"/>
        <v>0.268991256283898</v>
      </c>
      <c r="L16" s="24">
        <f t="shared" si="3"/>
        <v>0.115085584538353</v>
      </c>
      <c r="M16" s="24">
        <f t="shared" si="4"/>
        <v>0.144101521994617</v>
      </c>
      <c r="N16" s="25">
        <f>RANK(M16,$M$5:$M$25,1)</f>
        <v>20</v>
      </c>
      <c r="O16" s="24">
        <f t="shared" si="5"/>
        <v>0.029015937456264</v>
      </c>
      <c r="P16" s="23">
        <f>VLOOKUP(B16,[2]计算结果表!$B$1:$AA$25,15,0)</f>
        <v>6629.181062</v>
      </c>
      <c r="Q16" s="23">
        <f>VLOOKUP(B16,[3]计算结果表!$B$1:$AA$25,15,0)</f>
        <v>8648.559688</v>
      </c>
      <c r="R16" s="24">
        <f t="shared" si="6"/>
        <v>0.304619621505821</v>
      </c>
      <c r="S16" s="24">
        <f t="shared" si="7"/>
        <v>0.872638588247623</v>
      </c>
      <c r="T16" s="24">
        <f t="shared" si="8"/>
        <v>1.01589166282124</v>
      </c>
      <c r="U16" s="25">
        <f>RANK(T16,$T$5:$T$25,1)</f>
        <v>21</v>
      </c>
      <c r="V16" s="24">
        <f t="shared" si="9"/>
        <v>0.143253074573613</v>
      </c>
      <c r="W16" s="31">
        <f>VLOOKUP(B16,[3]计算结果表!$B$1:$T$25,18,0)</f>
        <v>1072.883068</v>
      </c>
      <c r="X16" s="31">
        <f>VLOOKUP(B16,[3]计算结果表!$B$1:$T$25,19,0)</f>
        <v>7575.67662</v>
      </c>
      <c r="Y16" s="37">
        <f>VLOOKUP(B16,[1]分ICT资源型数据!$B$1:$P$23,11,0)</f>
        <v>2237.238805</v>
      </c>
      <c r="Z16" s="37">
        <f>VLOOKUP(B16,[1]分ICT资源型数据!$B$1:$P$23,12,0)</f>
        <v>6966.172164</v>
      </c>
      <c r="AA16" s="24">
        <f t="shared" si="10"/>
        <v>0.439593727530873</v>
      </c>
      <c r="AB16" s="25">
        <f>RANK(AA16,$AA$5:$AA$25,1)</f>
        <v>21</v>
      </c>
      <c r="AC16" s="24">
        <f t="shared" si="11"/>
        <v>0.996870314358197</v>
      </c>
      <c r="AD16" s="25">
        <f>RANK(AC16,$AC$5:$AC$25,1)</f>
        <v>21</v>
      </c>
      <c r="AE16" s="38">
        <f>VLOOKUP(B16,[2]计算结果表!$B$1:$T$25,16,0)</f>
        <v>2313.835738</v>
      </c>
      <c r="AF16" s="38">
        <f>VLOOKUP(B16,[3]计算结果表!$B$1:$T$25,16,0)</f>
        <v>2700.050436</v>
      </c>
      <c r="AG16" s="14">
        <f t="shared" si="12"/>
        <v>0.166915348249323</v>
      </c>
      <c r="AH16" s="14">
        <f t="shared" si="13"/>
        <v>0.0330025466723976</v>
      </c>
      <c r="AI16" s="14">
        <f t="shared" si="14"/>
        <v>0.0384398063239419</v>
      </c>
      <c r="AJ16" s="25">
        <f>RANK(AI16,$AI$5:$AI$25,1)</f>
        <v>12</v>
      </c>
      <c r="AK16" s="14">
        <f t="shared" si="15"/>
        <v>0.00543725965154426</v>
      </c>
      <c r="AL16" s="23">
        <f>VLOOKUP(B16,'[5]查询结果(2025年1月)'!$A$2:$M$29,13,0)</f>
        <v>1593.628035</v>
      </c>
      <c r="AM16" s="23">
        <f>VLOOKUP(B16,'[4]查询结果(2026年1月)'!$A$2:$M$29,13,0)</f>
        <v>3386.829152</v>
      </c>
      <c r="AN16" s="24">
        <f t="shared" si="16"/>
        <v>1.1252319095905</v>
      </c>
      <c r="AO16" s="25">
        <f>RANK(AN16,$AN$5:$AN$25,1)</f>
        <v>11</v>
      </c>
      <c r="AP16" s="24">
        <f t="shared" si="17"/>
        <v>0.178198036595436</v>
      </c>
      <c r="AQ16" s="24">
        <f t="shared" si="18"/>
        <v>0.298435589468136</v>
      </c>
      <c r="AR16" s="25">
        <f>RANK(AQ16,$AQ$5:$AQ$25,1)</f>
        <v>19</v>
      </c>
      <c r="AS16" s="45">
        <f>VLOOKUP(B16,'[7]查询结果(2025年1月)'!$A$2:$M$25,13,0)</f>
        <v>764.907065</v>
      </c>
      <c r="AT16" s="45">
        <f>VLOOKUP(B16,'[6]查询结果(2026年1月)'!$A$2:$M$25,13,0)</f>
        <v>2398.403681</v>
      </c>
      <c r="AU16" s="46">
        <f t="shared" si="19"/>
        <v>0.277318278132233</v>
      </c>
      <c r="AV16" s="47">
        <f>RANK(AU16,$AU$5:$AU$25,1)</f>
        <v>19</v>
      </c>
      <c r="AW16" s="52">
        <f t="shared" si="20"/>
        <v>2.13554912844216</v>
      </c>
      <c r="AX16" s="53">
        <f>RANK(AW16,$AW$5:$AW$25,1)</f>
        <v>17</v>
      </c>
      <c r="AY16" s="23">
        <f>VLOOKUP(B16,[2]计算结果表!$B$1:$T$25,17,0)</f>
        <v>6378.85628</v>
      </c>
      <c r="AZ16" s="23">
        <f>VLOOKUP(B16,[3]计算结果表!$B$1:$T$25,17,0)</f>
        <v>6375.284984</v>
      </c>
      <c r="BA16" s="24">
        <f t="shared" si="21"/>
        <v>-0.000559864628271622</v>
      </c>
      <c r="BB16" s="24">
        <f t="shared" si="22"/>
        <v>0.0820880045389097</v>
      </c>
      <c r="BC16" s="24">
        <f t="shared" si="23"/>
        <v>0.0809516107528437</v>
      </c>
      <c r="BD16" s="25">
        <f>RANK(BC16,$BC$5:$BC$25,0)</f>
        <v>6</v>
      </c>
      <c r="BE16" s="24">
        <f t="shared" si="24"/>
        <v>-0.00113639378606603</v>
      </c>
      <c r="BF16" s="55">
        <f>VLOOKUP(B16,[2]计算结果表!$B$1:$T$25,9,0)</f>
        <v>8.27806500000001</v>
      </c>
      <c r="BG16" s="56">
        <f>VLOOKUP(B16,[3]计算结果表!$B$1:$T$25,9,0)</f>
        <v>251.353756</v>
      </c>
      <c r="BH16" s="57">
        <f t="shared" si="25"/>
        <v>29.363829711412</v>
      </c>
      <c r="BI16" s="57">
        <f t="shared" si="26"/>
        <v>0.000925645694862165</v>
      </c>
      <c r="BJ16" s="57">
        <f t="shared" si="27"/>
        <v>0.0221484175818533</v>
      </c>
      <c r="BK16" s="58">
        <f>RANK(BJ16,$BJ$5:$BJ$25,1)</f>
        <v>3</v>
      </c>
      <c r="BL16" s="59">
        <f>VLOOKUP(B16,[8]市州营业收现率202501完成!$B$1:$AH$28,6,0)</f>
        <v>7685.253159</v>
      </c>
      <c r="BM16" s="63">
        <f>VLOOKUP(B16,[9]市州营业收现率1月完成!$B$1:$AI$28,7,0)</f>
        <v>6206.450297</v>
      </c>
      <c r="BN16" s="24">
        <f>VLOOKUP(B16,[8]市州营业收现率202501完成!$B$1:$AH$28,5,0)</f>
        <v>1.14159713939649</v>
      </c>
      <c r="BO16" s="24">
        <f>VLOOKUP(B16,[9]市州营业收现率1月完成!$B$1:$AI$28,5,0)</f>
        <v>0.975451018112604</v>
      </c>
      <c r="BP16" s="58">
        <f>RANK(BO16,$BO$5:$BO$25,0)</f>
        <v>1</v>
      </c>
    </row>
    <row r="17" s="1" customFormat="1" ht="15" customHeight="1" spans="1:68">
      <c r="A17" s="10">
        <v>13</v>
      </c>
      <c r="B17" s="10" t="s">
        <v>77</v>
      </c>
      <c r="C17" s="11">
        <v>85384.9795560445</v>
      </c>
      <c r="D17" s="11">
        <v>11191.0494950444</v>
      </c>
      <c r="E17" s="12">
        <v>85367.4503703127</v>
      </c>
      <c r="F17" s="12">
        <v>12066.4503703127</v>
      </c>
      <c r="G17" s="13">
        <f t="shared" si="0"/>
        <v>-0.000205295894230462</v>
      </c>
      <c r="H17" s="14">
        <f t="shared" si="1"/>
        <v>0.0782233047629663</v>
      </c>
      <c r="I17" s="23">
        <f>VLOOKUP(B17,[2]计算结果表!$B$1:$AA$25,13,0)</f>
        <v>5221.149856</v>
      </c>
      <c r="J17" s="23">
        <f>VLOOKUP(B17,[3]计算结果表!$B$1:$AA$25,13,0)</f>
        <v>9384.322857</v>
      </c>
      <c r="K17" s="24">
        <f t="shared" si="2"/>
        <v>0.797367077333702</v>
      </c>
      <c r="L17" s="24">
        <f t="shared" si="3"/>
        <v>0.0611483411151135</v>
      </c>
      <c r="M17" s="24">
        <f t="shared" si="4"/>
        <v>0.109928583040633</v>
      </c>
      <c r="N17" s="25">
        <f>RANK(M17,$M$5:$M$25,1)</f>
        <v>16</v>
      </c>
      <c r="O17" s="24">
        <f t="shared" si="5"/>
        <v>0.0487802419255191</v>
      </c>
      <c r="P17" s="23">
        <f>VLOOKUP(B17,[2]计算结果表!$B$1:$AA$25,15,0)</f>
        <v>3308.446911</v>
      </c>
      <c r="Q17" s="23">
        <f>VLOOKUP(B17,[3]计算结果表!$B$1:$AA$25,15,0)</f>
        <v>6960.044025</v>
      </c>
      <c r="R17" s="24">
        <f t="shared" si="6"/>
        <v>1.10371942250579</v>
      </c>
      <c r="S17" s="24">
        <f t="shared" si="7"/>
        <v>0.295633301636727</v>
      </c>
      <c r="T17" s="24">
        <f t="shared" si="8"/>
        <v>0.576809567967388</v>
      </c>
      <c r="U17" s="25">
        <f>RANK(T17,$T$5:$T$25,1)</f>
        <v>17</v>
      </c>
      <c r="V17" s="24">
        <f t="shared" si="9"/>
        <v>0.281176266330662</v>
      </c>
      <c r="W17" s="31">
        <f>VLOOKUP(B17,[3]计算结果表!$B$1:$T$25,18,0)</f>
        <v>1182.667324</v>
      </c>
      <c r="X17" s="31">
        <f>VLOOKUP(B17,[3]计算结果表!$B$1:$T$25,19,0)</f>
        <v>5777.376701</v>
      </c>
      <c r="Y17" s="37">
        <f>VLOOKUP(B17,[1]分ICT资源型数据!$B$1:$P$23,11,0)</f>
        <v>3714.049762</v>
      </c>
      <c r="Z17" s="37">
        <f>VLOOKUP(B17,[1]分ICT资源型数据!$B$1:$P$23,12,0)</f>
        <v>7157.830452</v>
      </c>
      <c r="AA17" s="24">
        <f t="shared" si="10"/>
        <v>0.291894773397672</v>
      </c>
      <c r="AB17" s="25">
        <f>RANK(AA17,$AA$5:$AA$25,1)</f>
        <v>15</v>
      </c>
      <c r="AC17" s="24">
        <f t="shared" si="11"/>
        <v>0.739879028722114</v>
      </c>
      <c r="AD17" s="25">
        <f>RANK(AC17,$AC$5:$AC$25,1)</f>
        <v>16</v>
      </c>
      <c r="AE17" s="38">
        <f>VLOOKUP(B17,[2]计算结果表!$B$1:$T$25,16,0)</f>
        <v>1912.702945</v>
      </c>
      <c r="AF17" s="38">
        <f>VLOOKUP(B17,[3]计算结果表!$B$1:$T$25,16,0)</f>
        <v>2424.278832</v>
      </c>
      <c r="AG17" s="14">
        <f t="shared" si="12"/>
        <v>0.2674622781009</v>
      </c>
      <c r="AH17" s="14">
        <f t="shared" si="13"/>
        <v>0.0257797766397794</v>
      </c>
      <c r="AI17" s="14">
        <f t="shared" si="14"/>
        <v>0.0330729298645312</v>
      </c>
      <c r="AJ17" s="25">
        <f>RANK(AI17,$AI$5:$AI$25,1)</f>
        <v>9</v>
      </c>
      <c r="AK17" s="14">
        <f t="shared" si="15"/>
        <v>0.00729315322475174</v>
      </c>
      <c r="AL17" s="23">
        <f>VLOOKUP(B17,'[5]查询结果(2025年1月)'!$A$2:$M$29,13,0)</f>
        <v>560.753582</v>
      </c>
      <c r="AM17" s="23">
        <f>VLOOKUP(B17,'[4]查询结果(2026年1月)'!$A$2:$M$29,13,0)</f>
        <v>1209.489841</v>
      </c>
      <c r="AN17" s="24">
        <f t="shared" si="16"/>
        <v>1.15690078463021</v>
      </c>
      <c r="AO17" s="25">
        <f>RANK(AN17,$AN$5:$AN$25,1)</f>
        <v>12</v>
      </c>
      <c r="AP17" s="24">
        <f t="shared" si="17"/>
        <v>0.107400399809555</v>
      </c>
      <c r="AQ17" s="24">
        <f t="shared" si="18"/>
        <v>0.128884082467155</v>
      </c>
      <c r="AR17" s="25">
        <f>RANK(AQ17,$AQ$5:$AQ$25,1)</f>
        <v>3</v>
      </c>
      <c r="AS17" s="45">
        <f>VLOOKUP(B17,'[7]查询结果(2025年1月)'!$A$2:$M$25,13,0)</f>
        <v>310.759254</v>
      </c>
      <c r="AT17" s="45">
        <f>VLOOKUP(B17,'[6]查询结果(2026年1月)'!$A$2:$M$25,13,0)</f>
        <v>667.103839</v>
      </c>
      <c r="AU17" s="46">
        <f t="shared" si="19"/>
        <v>0.0958476464522076</v>
      </c>
      <c r="AV17" s="47">
        <f>RANK(AU17,$AU$5:$AU$25,1)</f>
        <v>4</v>
      </c>
      <c r="AW17" s="52">
        <f t="shared" si="20"/>
        <v>1.14669018030272</v>
      </c>
      <c r="AX17" s="53">
        <f>RANK(AW17,$AW$5:$AW$25,1)</f>
        <v>9</v>
      </c>
      <c r="AY17" s="23">
        <f>VLOOKUP(B17,[2]计算结果表!$B$1:$T$25,17,0)</f>
        <v>3571.300777</v>
      </c>
      <c r="AZ17" s="23">
        <f>VLOOKUP(B17,[3]计算结果表!$B$1:$T$25,17,0)</f>
        <v>3547.124816</v>
      </c>
      <c r="BA17" s="24">
        <f t="shared" si="21"/>
        <v>-0.00676951130963221</v>
      </c>
      <c r="BB17" s="24">
        <f t="shared" si="22"/>
        <v>0.0418258667457534</v>
      </c>
      <c r="BC17" s="24">
        <f t="shared" si="23"/>
        <v>0.0415512563701158</v>
      </c>
      <c r="BD17" s="25">
        <f>RANK(BC17,$BC$5:$BC$25,0)</f>
        <v>21</v>
      </c>
      <c r="BE17" s="24">
        <f t="shared" si="24"/>
        <v>-0.000274610375637648</v>
      </c>
      <c r="BF17" s="55">
        <f>VLOOKUP(B17,[2]计算结果表!$B$1:$T$25,9,0)</f>
        <v>147.516749</v>
      </c>
      <c r="BG17" s="56">
        <f>VLOOKUP(B17,[3]计算结果表!$B$1:$T$25,9,0)</f>
        <v>-246.946942</v>
      </c>
      <c r="BH17" s="57">
        <f t="shared" si="25"/>
        <v>-2.67402646597099</v>
      </c>
      <c r="BI17" s="57">
        <f t="shared" si="26"/>
        <v>0.0282536899090299</v>
      </c>
      <c r="BJ17" s="57">
        <f t="shared" si="27"/>
        <v>-0.0263148386690251</v>
      </c>
      <c r="BK17" s="58">
        <f>RANK(BJ17,$BJ$5:$BJ$25,1)</f>
        <v>1</v>
      </c>
      <c r="BL17" s="59">
        <f>VLOOKUP(B17,[8]市州营业收现率202501完成!$B$1:$AH$28,6,0)</f>
        <v>6275.122641</v>
      </c>
      <c r="BM17" s="63">
        <f>VLOOKUP(B17,[9]市州营业收现率1月完成!$B$1:$AI$28,7,0)</f>
        <v>5322.496158</v>
      </c>
      <c r="BN17" s="24">
        <f>VLOOKUP(B17,[8]市州营业收现率202501完成!$B$1:$AH$28,5,0)</f>
        <v>0.845126165098817</v>
      </c>
      <c r="BO17" s="24">
        <f>VLOOKUP(B17,[9]市州营业收现率1月完成!$B$1:$AI$28,5,0)</f>
        <v>0.78041789762998</v>
      </c>
      <c r="BP17" s="58">
        <f>RANK(BO17,$BO$5:$BO$25,0)</f>
        <v>14</v>
      </c>
    </row>
    <row r="18" s="1" customFormat="1" ht="15" spans="1:68">
      <c r="A18" s="10">
        <v>14</v>
      </c>
      <c r="B18" s="10" t="s">
        <v>78</v>
      </c>
      <c r="C18" s="11">
        <v>81589.1345996973</v>
      </c>
      <c r="D18" s="11">
        <v>9567.37989069726</v>
      </c>
      <c r="E18" s="12">
        <v>79471.7157842806</v>
      </c>
      <c r="F18" s="12">
        <v>10683.7157842806</v>
      </c>
      <c r="G18" s="13">
        <f t="shared" si="0"/>
        <v>-0.0259522156449561</v>
      </c>
      <c r="H18" s="14">
        <f t="shared" si="1"/>
        <v>0.116681464135107</v>
      </c>
      <c r="I18" s="23">
        <f>VLOOKUP(B18,[2]计算结果表!$B$1:$AA$25,13,0)</f>
        <v>7111.742258</v>
      </c>
      <c r="J18" s="23">
        <f>VLOOKUP(B18,[3]计算结果表!$B$1:$AA$25,13,0)</f>
        <v>8416.687881</v>
      </c>
      <c r="K18" s="24">
        <f t="shared" si="2"/>
        <v>0.18349169242348</v>
      </c>
      <c r="L18" s="24">
        <f t="shared" si="3"/>
        <v>0.0871653105881379</v>
      </c>
      <c r="M18" s="24">
        <f t="shared" si="4"/>
        <v>0.105907967355913</v>
      </c>
      <c r="N18" s="25">
        <f>RANK(M18,$M$5:$M$25,1)</f>
        <v>12</v>
      </c>
      <c r="O18" s="24">
        <f t="shared" si="5"/>
        <v>0.0187426567677753</v>
      </c>
      <c r="P18" s="23">
        <f>VLOOKUP(B18,[2]计算结果表!$B$1:$AA$25,15,0)</f>
        <v>4971.442891</v>
      </c>
      <c r="Q18" s="23">
        <f>VLOOKUP(B18,[3]计算结果表!$B$1:$AA$25,15,0)</f>
        <v>7465.587335</v>
      </c>
      <c r="R18" s="24">
        <f t="shared" si="6"/>
        <v>0.501694276427322</v>
      </c>
      <c r="S18" s="24">
        <f t="shared" si="7"/>
        <v>0.519624280398224</v>
      </c>
      <c r="T18" s="24">
        <f t="shared" si="8"/>
        <v>0.698781911250806</v>
      </c>
      <c r="U18" s="25">
        <f>RANK(T18,$T$5:$T$25,1)</f>
        <v>20</v>
      </c>
      <c r="V18" s="24">
        <f t="shared" si="9"/>
        <v>0.179157630852582</v>
      </c>
      <c r="W18" s="31">
        <f>VLOOKUP(B18,[3]计算结果表!$B$1:$T$25,18,0)</f>
        <v>548.420929</v>
      </c>
      <c r="X18" s="31">
        <f>VLOOKUP(B18,[3]计算结果表!$B$1:$T$25,19,0)</f>
        <v>6917.166406</v>
      </c>
      <c r="Y18" s="37">
        <f>VLOOKUP(B18,[1]分ICT资源型数据!$B$1:$P$23,11,0)</f>
        <v>4055.276697</v>
      </c>
      <c r="Z18" s="37">
        <f>VLOOKUP(B18,[1]分ICT资源型数据!$B$1:$P$23,12,0)</f>
        <v>8593.334145</v>
      </c>
      <c r="AA18" s="24">
        <f t="shared" si="10"/>
        <v>0.123966679089633</v>
      </c>
      <c r="AB18" s="25">
        <f>RANK(AA18,$AA$5:$AA$25,1)</f>
        <v>2</v>
      </c>
      <c r="AC18" s="24">
        <f t="shared" si="11"/>
        <v>0.737866788975732</v>
      </c>
      <c r="AD18" s="25">
        <f>RANK(AC18,$AC$5:$AC$25,1)</f>
        <v>15</v>
      </c>
      <c r="AE18" s="38">
        <f>VLOOKUP(B18,[2]计算结果表!$B$1:$T$25,16,0)</f>
        <v>2140.299367</v>
      </c>
      <c r="AF18" s="38">
        <f>VLOOKUP(B18,[3]计算结果表!$B$1:$T$25,16,0)</f>
        <v>951.100546</v>
      </c>
      <c r="AG18" s="14">
        <f t="shared" si="12"/>
        <v>-0.555622656968248</v>
      </c>
      <c r="AH18" s="14">
        <f t="shared" si="13"/>
        <v>0.0297174010220629</v>
      </c>
      <c r="AI18" s="14">
        <f t="shared" si="14"/>
        <v>0.0138265474501367</v>
      </c>
      <c r="AJ18" s="25">
        <f>RANK(AI18,$AI$5:$AI$25,1)</f>
        <v>1</v>
      </c>
      <c r="AK18" s="14">
        <f t="shared" si="15"/>
        <v>-0.0158908535719262</v>
      </c>
      <c r="AL18" s="23">
        <f>VLOOKUP(B18,'[5]查询结果(2025年1月)'!$A$2:$M$29,13,0)</f>
        <v>912.162984</v>
      </c>
      <c r="AM18" s="23">
        <f>VLOOKUP(B18,'[4]查询结果(2026年1月)'!$A$2:$M$29,13,0)</f>
        <v>1774.760958</v>
      </c>
      <c r="AN18" s="24">
        <f t="shared" si="16"/>
        <v>0.945662112068341</v>
      </c>
      <c r="AO18" s="25">
        <f>RANK(AN18,$AN$5:$AN$25,1)</f>
        <v>8</v>
      </c>
      <c r="AP18" s="24">
        <f t="shared" si="17"/>
        <v>0.128261535768385</v>
      </c>
      <c r="AQ18" s="24">
        <f t="shared" si="18"/>
        <v>0.210862156598011</v>
      </c>
      <c r="AR18" s="25">
        <f>RANK(AQ18,$AQ$5:$AQ$25,1)</f>
        <v>15</v>
      </c>
      <c r="AS18" s="45">
        <f>VLOOKUP(B18,'[7]查询结果(2025年1月)'!$A$2:$M$25,13,0)</f>
        <v>693.91124</v>
      </c>
      <c r="AT18" s="45">
        <f>VLOOKUP(B18,'[6]查询结果(2026年1月)'!$A$2:$M$25,13,0)</f>
        <v>1153.189237</v>
      </c>
      <c r="AU18" s="46">
        <f t="shared" si="19"/>
        <v>0.154467315865912</v>
      </c>
      <c r="AV18" s="47">
        <f>RANK(AU18,$AU$5:$AU$25,1)</f>
        <v>9</v>
      </c>
      <c r="AW18" s="52">
        <f t="shared" si="20"/>
        <v>0.661868507851235</v>
      </c>
      <c r="AX18" s="53">
        <f>RANK(AW18,$AW$5:$AW$25,1)</f>
        <v>8</v>
      </c>
      <c r="AY18" s="23">
        <f>VLOOKUP(B18,[2]计算结果表!$B$1:$T$25,17,0)</f>
        <v>6822.711086</v>
      </c>
      <c r="AZ18" s="23">
        <f>VLOOKUP(B18,[3]计算结果表!$B$1:$T$25,17,0)</f>
        <v>7182.317829</v>
      </c>
      <c r="BA18" s="24">
        <f t="shared" si="21"/>
        <v>0.0527073092304762</v>
      </c>
      <c r="BB18" s="24">
        <f t="shared" si="22"/>
        <v>0.0836227902094369</v>
      </c>
      <c r="BC18" s="24">
        <f t="shared" si="23"/>
        <v>0.0903757740489183</v>
      </c>
      <c r="BD18" s="25">
        <f>RANK(BC18,$BC$5:$BC$25,0)</f>
        <v>4</v>
      </c>
      <c r="BE18" s="24">
        <f t="shared" si="24"/>
        <v>0.00675298383948138</v>
      </c>
      <c r="BF18" s="55">
        <f>VLOOKUP(B18,[2]计算结果表!$B$1:$T$25,9,0)</f>
        <v>266.26498</v>
      </c>
      <c r="BG18" s="56">
        <f>VLOOKUP(B18,[3]计算结果表!$B$1:$T$25,9,0)</f>
        <v>515.338822</v>
      </c>
      <c r="BH18" s="57">
        <f t="shared" si="25"/>
        <v>0.935435978099711</v>
      </c>
      <c r="BI18" s="57">
        <f t="shared" si="26"/>
        <v>0.0374401898072836</v>
      </c>
      <c r="BJ18" s="57">
        <f t="shared" si="27"/>
        <v>0.0612282205644499</v>
      </c>
      <c r="BK18" s="58">
        <f>RANK(BJ18,$BJ$5:$BJ$25,1)</f>
        <v>18</v>
      </c>
      <c r="BL18" s="59">
        <f>VLOOKUP(B18,[8]市州营业收现率202501完成!$B$1:$AH$28,6,0)</f>
        <v>5113.123047</v>
      </c>
      <c r="BM18" s="63">
        <f>VLOOKUP(B18,[9]市州营业收现率1月完成!$B$1:$AI$28,7,0)</f>
        <v>4220.929211</v>
      </c>
      <c r="BN18" s="24">
        <f>VLOOKUP(B18,[8]市州营业收现率202501完成!$B$1:$AH$28,5,0)</f>
        <v>0.78231439014591</v>
      </c>
      <c r="BO18" s="24">
        <f>VLOOKUP(B18,[9]市州营业收现率1月完成!$B$1:$AI$28,5,0)</f>
        <v>0.644638995843073</v>
      </c>
      <c r="BP18" s="58">
        <f>RANK(BO18,$BO$5:$BO$25,0)</f>
        <v>18</v>
      </c>
    </row>
    <row r="19" s="1" customFormat="1" ht="15" customHeight="1" spans="1:68">
      <c r="A19" s="10">
        <v>15</v>
      </c>
      <c r="B19" s="10" t="s">
        <v>79</v>
      </c>
      <c r="C19" s="11">
        <v>74002.6261510923</v>
      </c>
      <c r="D19" s="11">
        <v>11380.1527230923</v>
      </c>
      <c r="E19" s="12">
        <v>74169.461442107</v>
      </c>
      <c r="F19" s="12">
        <v>12354.461442107</v>
      </c>
      <c r="G19" s="13">
        <f t="shared" si="0"/>
        <v>0.00225445095251176</v>
      </c>
      <c r="H19" s="14">
        <f t="shared" si="1"/>
        <v>0.0856147314295403</v>
      </c>
      <c r="I19" s="23">
        <f>VLOOKUP(B19,[2]计算结果表!$B$1:$AA$25,13,0)</f>
        <v>5338.284133</v>
      </c>
      <c r="J19" s="23">
        <f>VLOOKUP(B19,[3]计算结果表!$B$1:$AA$25,13,0)</f>
        <v>7923.852043</v>
      </c>
      <c r="K19" s="24">
        <f t="shared" si="2"/>
        <v>0.484344378377433</v>
      </c>
      <c r="L19" s="24">
        <f t="shared" si="3"/>
        <v>0.0721364147550756</v>
      </c>
      <c r="M19" s="24">
        <f t="shared" si="4"/>
        <v>0.106834428738369</v>
      </c>
      <c r="N19" s="25">
        <f>RANK(M19,$M$5:$M$25,1)</f>
        <v>13</v>
      </c>
      <c r="O19" s="24">
        <f t="shared" si="5"/>
        <v>0.0346980139832935</v>
      </c>
      <c r="P19" s="23">
        <f>VLOOKUP(B19,[2]计算结果表!$B$1:$AA$25,15,0)</f>
        <v>3066.404348</v>
      </c>
      <c r="Q19" s="23">
        <f>VLOOKUP(B19,[3]计算结果表!$B$1:$AA$25,15,0)</f>
        <v>4971.762642</v>
      </c>
      <c r="R19" s="24">
        <f t="shared" si="6"/>
        <v>0.621365637980109</v>
      </c>
      <c r="S19" s="24">
        <f t="shared" si="7"/>
        <v>0.269451950480219</v>
      </c>
      <c r="T19" s="24">
        <f t="shared" si="8"/>
        <v>0.402426497123948</v>
      </c>
      <c r="U19" s="25">
        <f>RANK(T19,$T$5:$T$25,1)</f>
        <v>8</v>
      </c>
      <c r="V19" s="24">
        <f t="shared" si="9"/>
        <v>0.132974546643729</v>
      </c>
      <c r="W19" s="31">
        <f>VLOOKUP(B19,[3]计算结果表!$B$1:$T$25,18,0)</f>
        <v>604.531373</v>
      </c>
      <c r="X19" s="31">
        <f>VLOOKUP(B19,[3]计算结果表!$B$1:$T$25,19,0)</f>
        <v>4367.231269</v>
      </c>
      <c r="Y19" s="37">
        <f>VLOOKUP(B19,[1]分ICT资源型数据!$B$1:$P$23,11,0)</f>
        <v>3845.599936</v>
      </c>
      <c r="Z19" s="37">
        <f>VLOOKUP(B19,[1]分ICT资源型数据!$B$1:$P$23,12,0)</f>
        <v>6225.605798</v>
      </c>
      <c r="AA19" s="24">
        <f t="shared" si="10"/>
        <v>0.144100730134642</v>
      </c>
      <c r="AB19" s="25">
        <f>RANK(AA19,$AA$5:$AA$25,1)</f>
        <v>5</v>
      </c>
      <c r="AC19" s="24">
        <f t="shared" si="11"/>
        <v>0.643037072986976</v>
      </c>
      <c r="AD19" s="25">
        <f>RANK(AC19,$AC$5:$AC$25,1)</f>
        <v>9</v>
      </c>
      <c r="AE19" s="38">
        <f>VLOOKUP(B19,[2]计算结果表!$B$1:$T$25,16,0)</f>
        <v>2271.879785</v>
      </c>
      <c r="AF19" s="38">
        <f>VLOOKUP(B19,[3]计算结果表!$B$1:$T$25,16,0)</f>
        <v>2952.089401</v>
      </c>
      <c r="AG19" s="14">
        <f t="shared" si="12"/>
        <v>0.299403877129</v>
      </c>
      <c r="AH19" s="14">
        <f t="shared" si="13"/>
        <v>0.0362789851731437</v>
      </c>
      <c r="AI19" s="14">
        <f t="shared" si="14"/>
        <v>0.0477568454420448</v>
      </c>
      <c r="AJ19" s="25">
        <f>RANK(AI19,$AI$5:$AI$25,1)</f>
        <v>16</v>
      </c>
      <c r="AK19" s="14">
        <f t="shared" si="15"/>
        <v>0.0114778602689011</v>
      </c>
      <c r="AL19" s="23">
        <f>VLOOKUP(B19,'[5]查询结果(2025年1月)'!$A$2:$M$29,13,0)</f>
        <v>486.676492</v>
      </c>
      <c r="AM19" s="23">
        <f>VLOOKUP(B19,'[4]查询结果(2026年1月)'!$A$2:$M$29,13,0)</f>
        <v>1428.695432</v>
      </c>
      <c r="AN19" s="24">
        <f t="shared" si="16"/>
        <v>1.9356162779278</v>
      </c>
      <c r="AO19" s="25">
        <f>RANK(AN19,$AN$5:$AN$25,1)</f>
        <v>17</v>
      </c>
      <c r="AP19" s="24">
        <f t="shared" si="17"/>
        <v>0.0911672140101127</v>
      </c>
      <c r="AQ19" s="24">
        <f t="shared" si="18"/>
        <v>0.180303143502297</v>
      </c>
      <c r="AR19" s="25">
        <f>RANK(AQ19,$AQ$5:$AQ$25,1)</f>
        <v>11</v>
      </c>
      <c r="AS19" s="45">
        <f>VLOOKUP(B19,'[7]查询结果(2025年1月)'!$A$2:$M$25,13,0)</f>
        <v>233.827653</v>
      </c>
      <c r="AT19" s="45">
        <f>VLOOKUP(B19,'[6]查询结果(2026年1月)'!$A$2:$M$25,13,0)</f>
        <v>698.19573</v>
      </c>
      <c r="AU19" s="46">
        <f t="shared" si="19"/>
        <v>0.140432233047862</v>
      </c>
      <c r="AV19" s="47">
        <f>RANK(AU19,$AU$5:$AU$25,1)</f>
        <v>6</v>
      </c>
      <c r="AW19" s="52">
        <f t="shared" si="20"/>
        <v>1.98594165849152</v>
      </c>
      <c r="AX19" s="53">
        <f>RANK(AW19,$AW$5:$AW$25,1)</f>
        <v>14</v>
      </c>
      <c r="AY19" s="23">
        <f>VLOOKUP(B19,[2]计算结果表!$B$1:$T$25,17,0)</f>
        <v>4714.59575</v>
      </c>
      <c r="AZ19" s="23">
        <f>VLOOKUP(B19,[3]计算结果表!$B$1:$T$25,17,0)</f>
        <v>4919.271158</v>
      </c>
      <c r="BA19" s="24">
        <f t="shared" si="21"/>
        <v>0.0434131405645966</v>
      </c>
      <c r="BB19" s="24">
        <f t="shared" si="22"/>
        <v>0.0637084924577425</v>
      </c>
      <c r="BC19" s="24">
        <f t="shared" si="23"/>
        <v>0.0663247522949825</v>
      </c>
      <c r="BD19" s="25">
        <f>RANK(BC19,$BC$5:$BC$25,0)</f>
        <v>11</v>
      </c>
      <c r="BE19" s="24">
        <f t="shared" si="24"/>
        <v>0.00261625983724</v>
      </c>
      <c r="BF19" s="55">
        <f>VLOOKUP(B19,[2]计算结果表!$B$1:$T$25,9,0)</f>
        <v>-220.801485</v>
      </c>
      <c r="BG19" s="56">
        <f>VLOOKUP(B19,[3]计算结果表!$B$1:$T$25,9,0)</f>
        <v>550.866006</v>
      </c>
      <c r="BH19" s="57">
        <f t="shared" si="25"/>
        <v>-3.49484737840418</v>
      </c>
      <c r="BI19" s="57">
        <f t="shared" si="26"/>
        <v>-0.0413618832379224</v>
      </c>
      <c r="BJ19" s="57">
        <f t="shared" si="27"/>
        <v>0.0695199762704605</v>
      </c>
      <c r="BK19" s="58">
        <f>RANK(BJ19,$BJ$5:$BJ$25,1)</f>
        <v>19</v>
      </c>
      <c r="BL19" s="59">
        <f>VLOOKUP(B19,[8]市州营业收现率202501完成!$B$1:$AH$28,6,0)</f>
        <v>5059.500291</v>
      </c>
      <c r="BM19" s="63">
        <f>VLOOKUP(B19,[9]市州营业收现率1月完成!$B$1:$AI$28,7,0)</f>
        <v>4384.827492</v>
      </c>
      <c r="BN19" s="24">
        <f>VLOOKUP(B19,[8]市州营业收现率202501完成!$B$1:$AH$28,5,0)</f>
        <v>0.885947425448128</v>
      </c>
      <c r="BO19" s="24">
        <f>VLOOKUP(B19,[9]市州营业收现率1月完成!$B$1:$AI$28,5,0)</f>
        <v>0.823682495352971</v>
      </c>
      <c r="BP19" s="58">
        <f>RANK(BO19,$BO$5:$BO$25,0)</f>
        <v>10</v>
      </c>
    </row>
    <row r="20" s="1" customFormat="1" ht="15" customHeight="1" spans="1:68">
      <c r="A20" s="10">
        <v>16</v>
      </c>
      <c r="B20" s="10" t="s">
        <v>80</v>
      </c>
      <c r="C20" s="11">
        <v>74765.4419522697</v>
      </c>
      <c r="D20" s="11">
        <v>8549.57793026971</v>
      </c>
      <c r="E20" s="12">
        <v>75931.2383485031</v>
      </c>
      <c r="F20" s="12">
        <v>9378.23834850306</v>
      </c>
      <c r="G20" s="13">
        <f t="shared" si="0"/>
        <v>0.01559271724733</v>
      </c>
      <c r="H20" s="14">
        <f t="shared" si="1"/>
        <v>0.0969241318100025</v>
      </c>
      <c r="I20" s="23">
        <f>VLOOKUP(B20,[2]计算结果表!$B$1:$AA$25,13,0)</f>
        <v>4641.964691</v>
      </c>
      <c r="J20" s="23">
        <f>VLOOKUP(B20,[3]计算结果表!$B$1:$AA$25,13,0)</f>
        <v>6748.138439</v>
      </c>
      <c r="K20" s="24">
        <f t="shared" si="2"/>
        <v>0.453724637777517</v>
      </c>
      <c r="L20" s="24">
        <f t="shared" si="3"/>
        <v>0.0620870360662542</v>
      </c>
      <c r="M20" s="24">
        <f t="shared" si="4"/>
        <v>0.0888717026848415</v>
      </c>
      <c r="N20" s="25">
        <f>RANK(M20,$M$5:$M$25,1)</f>
        <v>7</v>
      </c>
      <c r="O20" s="24">
        <f t="shared" si="5"/>
        <v>0.0267846666185873</v>
      </c>
      <c r="P20" s="23">
        <f>VLOOKUP(B20,[2]计算结果表!$B$1:$AA$25,15,0)</f>
        <v>2928.155975</v>
      </c>
      <c r="Q20" s="23">
        <f>VLOOKUP(B20,[3]计算结果表!$B$1:$AA$25,15,0)</f>
        <v>5300.888256</v>
      </c>
      <c r="R20" s="24">
        <f t="shared" si="6"/>
        <v>0.810316219920628</v>
      </c>
      <c r="S20" s="24">
        <f t="shared" si="7"/>
        <v>0.342491290082624</v>
      </c>
      <c r="T20" s="24">
        <f t="shared" si="8"/>
        <v>0.565232835743199</v>
      </c>
      <c r="U20" s="25">
        <f>RANK(T20,$T$5:$T$25,1)</f>
        <v>16</v>
      </c>
      <c r="V20" s="24">
        <f t="shared" si="9"/>
        <v>0.222741545660575</v>
      </c>
      <c r="W20" s="31">
        <f>VLOOKUP(B20,[3]计算结果表!$B$1:$T$25,18,0)</f>
        <v>758.279609</v>
      </c>
      <c r="X20" s="31">
        <f>VLOOKUP(B20,[3]计算结果表!$B$1:$T$25,19,0)</f>
        <v>4542.608647</v>
      </c>
      <c r="Y20" s="37">
        <f>VLOOKUP(B20,[1]分ICT资源型数据!$B$1:$P$23,11,0)</f>
        <v>3272.831255</v>
      </c>
      <c r="Z20" s="37">
        <f>VLOOKUP(B20,[1]分ICT资源型数据!$B$1:$P$23,12,0)</f>
        <v>4321.330204</v>
      </c>
      <c r="AA20" s="24">
        <f t="shared" si="10"/>
        <v>0.212381753725135</v>
      </c>
      <c r="AB20" s="25">
        <f>RANK(AA20,$AA$5:$AA$25,1)</f>
        <v>10</v>
      </c>
      <c r="AC20" s="24">
        <f t="shared" si="11"/>
        <v>0.96360558666918</v>
      </c>
      <c r="AD20" s="25">
        <f>RANK(AC20,$AC$5:$AC$25,1)</f>
        <v>20</v>
      </c>
      <c r="AE20" s="38">
        <f>VLOOKUP(B20,[2]计算结果表!$B$1:$T$25,16,0)</f>
        <v>1713.808716</v>
      </c>
      <c r="AF20" s="38">
        <f>VLOOKUP(B20,[3]计算结果表!$B$1:$T$25,16,0)</f>
        <v>1447.250183</v>
      </c>
      <c r="AG20" s="14">
        <f t="shared" si="12"/>
        <v>-0.155535755251696</v>
      </c>
      <c r="AH20" s="14">
        <f t="shared" si="13"/>
        <v>0.0258821468437019</v>
      </c>
      <c r="AI20" s="14">
        <f t="shared" si="14"/>
        <v>0.0217458293840999</v>
      </c>
      <c r="AJ20" s="25">
        <f>RANK(AI20,$AI$5:$AI$25,1)</f>
        <v>4</v>
      </c>
      <c r="AK20" s="14">
        <f t="shared" si="15"/>
        <v>-0.004136317459602</v>
      </c>
      <c r="AL20" s="23">
        <f>VLOOKUP(B20,'[5]查询结果(2025年1月)'!$A$2:$M$29,13,0)</f>
        <v>485.259085</v>
      </c>
      <c r="AM20" s="23">
        <f>VLOOKUP(B20,'[4]查询结果(2026年1月)'!$A$2:$M$29,13,0)</f>
        <v>1600.978401</v>
      </c>
      <c r="AN20" s="24">
        <f t="shared" si="16"/>
        <v>2.29922396197899</v>
      </c>
      <c r="AO20" s="25">
        <f>RANK(AN20,$AN$5:$AN$25,1)</f>
        <v>19</v>
      </c>
      <c r="AP20" s="24">
        <f t="shared" si="17"/>
        <v>0.104537435612304</v>
      </c>
      <c r="AQ20" s="24">
        <f t="shared" si="18"/>
        <v>0.237247415042251</v>
      </c>
      <c r="AR20" s="25">
        <f>RANK(AQ20,$AQ$5:$AQ$25,1)</f>
        <v>16</v>
      </c>
      <c r="AS20" s="45">
        <f>VLOOKUP(B20,'[7]查询结果(2025年1月)'!$A$2:$M$25,13,0)</f>
        <v>302.487245</v>
      </c>
      <c r="AT20" s="45">
        <f>VLOOKUP(B20,'[6]查询结果(2026年1月)'!$A$2:$M$25,13,0)</f>
        <v>1295.667961</v>
      </c>
      <c r="AU20" s="46">
        <f t="shared" si="19"/>
        <v>0.244424688547896</v>
      </c>
      <c r="AV20" s="47">
        <f>RANK(AU20,$AU$5:$AU$25,1)</f>
        <v>16</v>
      </c>
      <c r="AW20" s="52">
        <f t="shared" si="20"/>
        <v>3.28338048105136</v>
      </c>
      <c r="AX20" s="53">
        <f>RANK(AW20,$AW$5:$AW$25,1)</f>
        <v>18</v>
      </c>
      <c r="AY20" s="23">
        <f>VLOOKUP(B20,[2]计算结果表!$B$1:$T$25,17,0)</f>
        <v>3027.006901</v>
      </c>
      <c r="AZ20" s="23">
        <f>VLOOKUP(B20,[3]计算结果表!$B$1:$T$25,17,0)</f>
        <v>3733.419112</v>
      </c>
      <c r="BA20" s="24">
        <f t="shared" si="21"/>
        <v>0.23336987132954</v>
      </c>
      <c r="BB20" s="24">
        <f t="shared" si="22"/>
        <v>0.0404867118010543</v>
      </c>
      <c r="BC20" s="24">
        <f t="shared" si="23"/>
        <v>0.0491684212348105</v>
      </c>
      <c r="BD20" s="25">
        <f>RANK(BC20,$BC$5:$BC$25,0)</f>
        <v>19</v>
      </c>
      <c r="BE20" s="24">
        <f t="shared" si="24"/>
        <v>0.00868170943375621</v>
      </c>
      <c r="BF20" s="55">
        <f>VLOOKUP(B20,[2]计算结果表!$B$1:$T$25,9,0)</f>
        <v>-0.196450000000001</v>
      </c>
      <c r="BG20" s="56">
        <f>VLOOKUP(B20,[3]计算结果表!$B$1:$T$25,9,0)</f>
        <v>250.027741</v>
      </c>
      <c r="BH20" s="57">
        <f t="shared" si="25"/>
        <v>-1273.72965640111</v>
      </c>
      <c r="BI20" s="57">
        <f t="shared" si="26"/>
        <v>-4.2320442544702e-5</v>
      </c>
      <c r="BJ20" s="57">
        <f t="shared" si="27"/>
        <v>0.0370513650927783</v>
      </c>
      <c r="BK20" s="58">
        <f>RANK(BJ20,$BJ$5:$BJ$25,1)</f>
        <v>10</v>
      </c>
      <c r="BL20" s="59">
        <f>VLOOKUP(B20,[8]市州营业收现率202501完成!$B$1:$AH$28,6,0)</f>
        <v>6340.609067</v>
      </c>
      <c r="BM20" s="63">
        <f>VLOOKUP(B20,[9]市州营业收现率1月完成!$B$1:$AI$28,7,0)</f>
        <v>5283.599956</v>
      </c>
      <c r="BN20" s="24">
        <f>VLOOKUP(B20,[8]市州营业收现率202501完成!$B$1:$AH$28,5,0)</f>
        <v>1.03206732556937</v>
      </c>
      <c r="BO20" s="24">
        <f>VLOOKUP(B20,[9]市州营业收现率1月完成!$B$1:$AI$28,5,0)</f>
        <v>0.909865049056232</v>
      </c>
      <c r="BP20" s="58">
        <f>RANK(BO20,$BO$5:$BO$25,0)</f>
        <v>4</v>
      </c>
    </row>
    <row r="21" s="1" customFormat="1" ht="15" customHeight="1" spans="1:68">
      <c r="A21" s="10">
        <v>17</v>
      </c>
      <c r="B21" s="10" t="s">
        <v>81</v>
      </c>
      <c r="C21" s="11">
        <v>61742.007236564</v>
      </c>
      <c r="D21" s="11">
        <v>4113.30143756403</v>
      </c>
      <c r="E21" s="12">
        <v>64172.5578319425</v>
      </c>
      <c r="F21" s="12">
        <v>6114.15783194247</v>
      </c>
      <c r="G21" s="13">
        <f t="shared" si="0"/>
        <v>0.0393662387111235</v>
      </c>
      <c r="H21" s="14">
        <f t="shared" si="1"/>
        <v>0.486435634428821</v>
      </c>
      <c r="I21" s="23">
        <f>VLOOKUP(B21,[2]计算结果表!$B$1:$AA$25,13,0)</f>
        <v>3565.107808</v>
      </c>
      <c r="J21" s="23">
        <f>VLOOKUP(B21,[3]计算结果表!$B$1:$AA$25,13,0)</f>
        <v>4562.859518</v>
      </c>
      <c r="K21" s="24">
        <f t="shared" si="2"/>
        <v>0.279865789124546</v>
      </c>
      <c r="L21" s="24">
        <f t="shared" si="3"/>
        <v>0.0577420133806198</v>
      </c>
      <c r="M21" s="24">
        <f t="shared" si="4"/>
        <v>0.0711029709918901</v>
      </c>
      <c r="N21" s="25">
        <f>RANK(M21,$M$5:$M$25,1)</f>
        <v>2</v>
      </c>
      <c r="O21" s="24">
        <f t="shared" si="5"/>
        <v>0.0133609576112704</v>
      </c>
      <c r="P21" s="23">
        <f>VLOOKUP(B21,[2]计算结果表!$B$1:$AA$25,15,0)</f>
        <v>2475.663309</v>
      </c>
      <c r="Q21" s="23">
        <f>VLOOKUP(B21,[3]计算结果表!$B$1:$AA$25,15,0)</f>
        <v>3268.923344</v>
      </c>
      <c r="R21" s="24">
        <f t="shared" si="6"/>
        <v>0.320423230459566</v>
      </c>
      <c r="S21" s="24">
        <f t="shared" si="7"/>
        <v>0.601867708111889</v>
      </c>
      <c r="T21" s="24">
        <f t="shared" si="8"/>
        <v>0.534648177860574</v>
      </c>
      <c r="U21" s="25">
        <f>RANK(T21,$T$5:$T$25,1)</f>
        <v>14</v>
      </c>
      <c r="V21" s="24">
        <f t="shared" si="9"/>
        <v>-0.0672195302513147</v>
      </c>
      <c r="W21" s="31">
        <f>VLOOKUP(B21,[3]计算结果表!$B$1:$T$25,18,0)</f>
        <v>377.423371</v>
      </c>
      <c r="X21" s="31">
        <f>VLOOKUP(B21,[3]计算结果表!$B$1:$T$25,19,0)</f>
        <v>2891.499973</v>
      </c>
      <c r="Y21" s="37">
        <f>VLOOKUP(B21,[1]分ICT资源型数据!$B$1:$P$23,11,0)</f>
        <v>1777.031888</v>
      </c>
      <c r="Z21" s="37">
        <f>VLOOKUP(B21,[1]分ICT资源型数据!$B$1:$P$23,12,0)</f>
        <v>3758.430747</v>
      </c>
      <c r="AA21" s="24">
        <f t="shared" si="10"/>
        <v>0.194690610648551</v>
      </c>
      <c r="AB21" s="25">
        <f>RANK(AA21,$AA$5:$AA$25,1)</f>
        <v>8</v>
      </c>
      <c r="AC21" s="24">
        <f t="shared" si="11"/>
        <v>0.705225616843504</v>
      </c>
      <c r="AD21" s="25">
        <f>RANK(AC21,$AC$5:$AC$25,1)</f>
        <v>12</v>
      </c>
      <c r="AE21" s="38">
        <f>VLOOKUP(B21,[2]计算结果表!$B$1:$T$25,16,0)</f>
        <v>1089.444499</v>
      </c>
      <c r="AF21" s="38">
        <f>VLOOKUP(B21,[3]计算结果表!$B$1:$T$25,16,0)</f>
        <v>1293.936174</v>
      </c>
      <c r="AG21" s="14">
        <f t="shared" si="12"/>
        <v>0.187702700952369</v>
      </c>
      <c r="AH21" s="14">
        <f t="shared" si="13"/>
        <v>0.0189045456408446</v>
      </c>
      <c r="AI21" s="14">
        <f t="shared" si="14"/>
        <v>0.0222868038733413</v>
      </c>
      <c r="AJ21" s="25">
        <f>RANK(AI21,$AI$5:$AI$25,1)</f>
        <v>5</v>
      </c>
      <c r="AK21" s="14">
        <f t="shared" si="15"/>
        <v>0.00338225823249673</v>
      </c>
      <c r="AL21" s="23">
        <f>VLOOKUP(B21,'[5]查询结果(2025年1月)'!$A$2:$M$29,13,0)</f>
        <v>380.238127</v>
      </c>
      <c r="AM21" s="23">
        <f>VLOOKUP(B21,'[4]查询结果(2026年1月)'!$A$2:$M$29,13,0)</f>
        <v>802.092617</v>
      </c>
      <c r="AN21" s="24">
        <f t="shared" si="16"/>
        <v>1.10944815904797</v>
      </c>
      <c r="AO21" s="25">
        <f>RANK(AN21,$AN$5:$AN$25,1)</f>
        <v>10</v>
      </c>
      <c r="AP21" s="24">
        <f t="shared" si="17"/>
        <v>0.106655435817889</v>
      </c>
      <c r="AQ21" s="24">
        <f t="shared" si="18"/>
        <v>0.17578726976709</v>
      </c>
      <c r="AR21" s="25">
        <f>RANK(AQ21,$AQ$5:$AQ$25,1)</f>
        <v>10</v>
      </c>
      <c r="AS21" s="45">
        <f>VLOOKUP(B21,'[7]查询结果(2025年1月)'!$A$2:$M$25,13,0)</f>
        <v>196.614636</v>
      </c>
      <c r="AT21" s="45">
        <f>VLOOKUP(B21,'[6]查询结果(2026年1月)'!$A$2:$M$25,13,0)</f>
        <v>502.799386</v>
      </c>
      <c r="AU21" s="46">
        <f t="shared" si="19"/>
        <v>0.153811923097821</v>
      </c>
      <c r="AV21" s="47">
        <f>RANK(AU21,$AU$5:$AU$25,1)</f>
        <v>8</v>
      </c>
      <c r="AW21" s="52">
        <f t="shared" si="20"/>
        <v>1.55728360934432</v>
      </c>
      <c r="AX21" s="53">
        <f>RANK(AW21,$AW$5:$AW$25,1)</f>
        <v>12</v>
      </c>
      <c r="AY21" s="23">
        <f>VLOOKUP(B21,[2]计算结果表!$B$1:$T$25,17,0)</f>
        <v>3887.206946</v>
      </c>
      <c r="AZ21" s="23">
        <f>VLOOKUP(B21,[3]计算结果表!$B$1:$T$25,17,0)</f>
        <v>4491.630532</v>
      </c>
      <c r="BA21" s="24">
        <f t="shared" si="21"/>
        <v>0.155490457389196</v>
      </c>
      <c r="BB21" s="24">
        <f t="shared" si="22"/>
        <v>0.0629588690096549</v>
      </c>
      <c r="BC21" s="24">
        <f t="shared" si="23"/>
        <v>0.0699930107782652</v>
      </c>
      <c r="BD21" s="25">
        <f>RANK(BC21,$BC$5:$BC$25,0)</f>
        <v>9</v>
      </c>
      <c r="BE21" s="24">
        <f t="shared" si="24"/>
        <v>0.00703414176861031</v>
      </c>
      <c r="BF21" s="55">
        <f>VLOOKUP(B21,[2]计算结果表!$B$1:$T$25,9,0)</f>
        <v>54.039699</v>
      </c>
      <c r="BG21" s="56">
        <f>VLOOKUP(B21,[3]计算结果表!$B$1:$T$25,9,0)</f>
        <v>205.099086</v>
      </c>
      <c r="BH21" s="57">
        <f t="shared" si="25"/>
        <v>2.79534101402008</v>
      </c>
      <c r="BI21" s="57">
        <f t="shared" si="26"/>
        <v>0.0151579424551304</v>
      </c>
      <c r="BJ21" s="57">
        <f t="shared" si="27"/>
        <v>0.0449496823627608</v>
      </c>
      <c r="BK21" s="58">
        <f>RANK(BJ21,$BJ$5:$BJ$25,1)</f>
        <v>14</v>
      </c>
      <c r="BL21" s="59">
        <f>VLOOKUP(B21,[8]市州营业收现率202501完成!$B$1:$AH$28,6,0)</f>
        <v>5883.46005</v>
      </c>
      <c r="BM21" s="63">
        <f>VLOOKUP(B21,[9]市州营业收现率1月完成!$B$1:$AI$28,7,0)</f>
        <v>4505.231063</v>
      </c>
      <c r="BN21" s="24">
        <f>VLOOKUP(B21,[8]市州营业收现率202501完成!$B$1:$AH$28,5,0)</f>
        <v>1.03424186379337</v>
      </c>
      <c r="BO21" s="24">
        <f>VLOOKUP(B21,[9]市州营业收现率1月完成!$B$1:$AI$28,5,0)</f>
        <v>0.84720967069308</v>
      </c>
      <c r="BP21" s="58">
        <f>RANK(BO21,$BO$5:$BO$25,0)</f>
        <v>9</v>
      </c>
    </row>
    <row r="22" s="1" customFormat="1" ht="15" customHeight="1" spans="1:68">
      <c r="A22" s="10">
        <v>18</v>
      </c>
      <c r="B22" s="10" t="s">
        <v>82</v>
      </c>
      <c r="C22" s="11">
        <v>57221.629940173</v>
      </c>
      <c r="D22" s="11">
        <v>16455.209782173</v>
      </c>
      <c r="E22" s="12">
        <v>59138.3698399853</v>
      </c>
      <c r="F22" s="12">
        <v>18143.3698399853</v>
      </c>
      <c r="G22" s="13">
        <f t="shared" si="0"/>
        <v>0.0334967721439656</v>
      </c>
      <c r="H22" s="14">
        <f t="shared" si="1"/>
        <v>0.102591220662601</v>
      </c>
      <c r="I22" s="23">
        <f>VLOOKUP(B22,[2]计算结果表!$B$1:$AA$25,13,0)</f>
        <v>5098.796038</v>
      </c>
      <c r="J22" s="23">
        <f>VLOOKUP(B22,[3]计算结果表!$B$1:$AA$25,13,0)</f>
        <v>8742.195801</v>
      </c>
      <c r="K22" s="24">
        <f t="shared" si="2"/>
        <v>0.714560797460163</v>
      </c>
      <c r="L22" s="24">
        <f t="shared" si="3"/>
        <v>0.0891060957776098</v>
      </c>
      <c r="M22" s="24">
        <f t="shared" si="4"/>
        <v>0.147826120751288</v>
      </c>
      <c r="N22" s="25">
        <f>RANK(M22,$M$5:$M$25,1)</f>
        <v>21</v>
      </c>
      <c r="O22" s="24">
        <f t="shared" si="5"/>
        <v>0.0587200249736783</v>
      </c>
      <c r="P22" s="23">
        <f>VLOOKUP(B22,[2]计算结果表!$B$1:$AA$25,15,0)</f>
        <v>3199.35801</v>
      </c>
      <c r="Q22" s="23">
        <f>VLOOKUP(B22,[3]计算结果表!$B$1:$AA$25,15,0)</f>
        <v>5806.386583</v>
      </c>
      <c r="R22" s="24">
        <f t="shared" si="6"/>
        <v>0.814859907785062</v>
      </c>
      <c r="S22" s="24">
        <f t="shared" si="7"/>
        <v>0.194428272404407</v>
      </c>
      <c r="T22" s="24">
        <f t="shared" si="8"/>
        <v>0.320028012117329</v>
      </c>
      <c r="U22" s="25">
        <f>RANK(T22,$T$5:$T$25,1)</f>
        <v>3</v>
      </c>
      <c r="V22" s="24">
        <f t="shared" si="9"/>
        <v>0.125599739712922</v>
      </c>
      <c r="W22" s="31">
        <f>VLOOKUP(B22,[3]计算结果表!$B$1:$T$25,18,0)</f>
        <v>2976.808251</v>
      </c>
      <c r="X22" s="31">
        <f>VLOOKUP(B22,[3]计算结果表!$B$1:$T$25,19,0)</f>
        <v>2829.578332</v>
      </c>
      <c r="Y22" s="37">
        <f>VLOOKUP(B22,[1]分ICT资源型数据!$B$1:$P$23,11,0)</f>
        <v>7148.104486</v>
      </c>
      <c r="Z22" s="37">
        <f>VLOOKUP(B22,[1]分ICT资源型数据!$B$1:$P$23,12,0)</f>
        <v>6615.086508</v>
      </c>
      <c r="AA22" s="24">
        <f t="shared" si="10"/>
        <v>0.381743286222859</v>
      </c>
      <c r="AB22" s="25">
        <f>RANK(AA22,$AA$5:$AA$25,1)</f>
        <v>20</v>
      </c>
      <c r="AC22" s="24">
        <f t="shared" si="11"/>
        <v>0.392100713200026</v>
      </c>
      <c r="AD22" s="25">
        <f>RANK(AC22,$AC$5:$AC$25,1)</f>
        <v>2</v>
      </c>
      <c r="AE22" s="38">
        <f>VLOOKUP(B22,[2]计算结果表!$B$1:$T$25,16,0)</f>
        <v>1899.438028</v>
      </c>
      <c r="AF22" s="38">
        <f>VLOOKUP(B22,[3]计算结果表!$B$1:$T$25,16,0)</f>
        <v>2935.809218</v>
      </c>
      <c r="AG22" s="14">
        <f t="shared" si="12"/>
        <v>0.545619901635453</v>
      </c>
      <c r="AH22" s="14">
        <f t="shared" si="13"/>
        <v>0.0465932014790181</v>
      </c>
      <c r="AI22" s="14">
        <f t="shared" si="14"/>
        <v>0.0716138362727162</v>
      </c>
      <c r="AJ22" s="25">
        <f>RANK(AI22,$AI$5:$AI$25,1)</f>
        <v>21</v>
      </c>
      <c r="AK22" s="14">
        <f t="shared" si="15"/>
        <v>0.0250206347936981</v>
      </c>
      <c r="AL22" s="23">
        <f>VLOOKUP(B22,'[5]查询结果(2025年1月)'!$A$2:$M$29,13,0)</f>
        <v>1312.346558</v>
      </c>
      <c r="AM22" s="23">
        <f>VLOOKUP(B22,'[4]查询结果(2026年1月)'!$A$2:$M$29,13,0)</f>
        <v>1159.759552</v>
      </c>
      <c r="AN22" s="24">
        <f t="shared" si="16"/>
        <v>-0.116270359433518</v>
      </c>
      <c r="AO22" s="25">
        <f>RANK(AN22,$AN$5:$AN$25,1)</f>
        <v>3</v>
      </c>
      <c r="AP22" s="24">
        <f t="shared" si="17"/>
        <v>0.257383615312208</v>
      </c>
      <c r="AQ22" s="24">
        <f t="shared" si="18"/>
        <v>0.132662271401807</v>
      </c>
      <c r="AR22" s="25">
        <f>RANK(AQ22,$AQ$5:$AQ$25,1)</f>
        <v>5</v>
      </c>
      <c r="AS22" s="45">
        <f>VLOOKUP(B22,'[7]查询结果(2025年1月)'!$A$2:$M$25,13,0)</f>
        <v>609.091579</v>
      </c>
      <c r="AT22" s="45">
        <f>VLOOKUP(B22,'[6]查询结果(2026年1月)'!$A$2:$M$25,13,0)</f>
        <v>351.171069</v>
      </c>
      <c r="AU22" s="46">
        <f t="shared" si="19"/>
        <v>0.0604801392363647</v>
      </c>
      <c r="AV22" s="47">
        <f>RANK(AU22,$AU$5:$AU$25,1)</f>
        <v>3</v>
      </c>
      <c r="AW22" s="52">
        <f t="shared" si="20"/>
        <v>-0.423451117849062</v>
      </c>
      <c r="AX22" s="53">
        <f>RANK(AW22,$AW$5:$AW$25,1)</f>
        <v>3</v>
      </c>
      <c r="AY22" s="23">
        <f>VLOOKUP(B22,[2]计算结果表!$B$1:$T$25,17,0)</f>
        <v>6436.612133</v>
      </c>
      <c r="AZ22" s="23">
        <f>VLOOKUP(B22,[3]计算结果表!$B$1:$T$25,17,0)</f>
        <v>6488.094481</v>
      </c>
      <c r="BA22" s="24">
        <f t="shared" si="21"/>
        <v>0.00799836108440566</v>
      </c>
      <c r="BB22" s="24">
        <f t="shared" si="22"/>
        <v>0.11248564816713</v>
      </c>
      <c r="BC22" s="24">
        <f t="shared" si="23"/>
        <v>0.109710404574142</v>
      </c>
      <c r="BD22" s="25">
        <f>RANK(BC22,$BC$5:$BC$25,0)</f>
        <v>2</v>
      </c>
      <c r="BE22" s="24">
        <f t="shared" si="24"/>
        <v>-0.0027752435929882</v>
      </c>
      <c r="BF22" s="55">
        <f>VLOOKUP(B22,[2]计算结果表!$B$1:$T$25,9,0)</f>
        <v>115.290701</v>
      </c>
      <c r="BG22" s="56">
        <f>VLOOKUP(B22,[3]计算结果表!$B$1:$T$25,9,0)</f>
        <v>387.159699</v>
      </c>
      <c r="BH22" s="57">
        <f t="shared" si="25"/>
        <v>2.35811731251422</v>
      </c>
      <c r="BI22" s="57">
        <f t="shared" si="26"/>
        <v>0.0226113576892993</v>
      </c>
      <c r="BJ22" s="57">
        <f t="shared" si="27"/>
        <v>0.0442863220880632</v>
      </c>
      <c r="BK22" s="58">
        <f>RANK(BJ22,$BJ$5:$BJ$25,1)</f>
        <v>13</v>
      </c>
      <c r="BL22" s="59">
        <f>VLOOKUP(B22,[8]市州营业收现率202501完成!$B$1:$AH$28,6,0)</f>
        <v>1948.906112</v>
      </c>
      <c r="BM22" s="63">
        <f>VLOOKUP(B22,[9]市州营业收现率1月完成!$B$1:$AI$28,7,0)</f>
        <v>2308.057516</v>
      </c>
      <c r="BN22" s="24">
        <f>VLOOKUP(B22,[8]市州营业收现率202501完成!$B$1:$AH$28,5,0)</f>
        <v>0.452037776356327</v>
      </c>
      <c r="BO22" s="24">
        <f>VLOOKUP(B22,[9]市州营业收现率1月完成!$B$1:$AI$28,5,0)</f>
        <v>0.502730054795928</v>
      </c>
      <c r="BP22" s="58">
        <f>RANK(BO22,$BO$5:$BO$25,0)</f>
        <v>20</v>
      </c>
    </row>
    <row r="23" s="1" customFormat="1" ht="15" customHeight="1" spans="1:68">
      <c r="A23" s="10">
        <v>19</v>
      </c>
      <c r="B23" s="10" t="s">
        <v>83</v>
      </c>
      <c r="C23" s="11">
        <v>55656.4640550355</v>
      </c>
      <c r="D23" s="11">
        <v>10789.5396620355</v>
      </c>
      <c r="E23" s="12">
        <v>56414.2200194601</v>
      </c>
      <c r="F23" s="12">
        <v>11740.2200194601</v>
      </c>
      <c r="G23" s="13">
        <f t="shared" si="0"/>
        <v>0.0136148779353877</v>
      </c>
      <c r="H23" s="14">
        <f t="shared" si="1"/>
        <v>0.0881112992030328</v>
      </c>
      <c r="I23" s="23">
        <f>VLOOKUP(B23,[2]计算结果表!$B$1:$AA$25,13,0)</f>
        <v>2726.428954</v>
      </c>
      <c r="J23" s="23">
        <f>VLOOKUP(B23,[3]计算结果表!$B$1:$AA$25,13,0)</f>
        <v>2759.192565</v>
      </c>
      <c r="K23" s="24">
        <f t="shared" si="2"/>
        <v>0.0120170419082191</v>
      </c>
      <c r="L23" s="24">
        <f t="shared" si="3"/>
        <v>0.0489867439531191</v>
      </c>
      <c r="M23" s="24">
        <f t="shared" si="4"/>
        <v>0.0489095225290399</v>
      </c>
      <c r="N23" s="25">
        <f>RANK(M23,$M$5:$M$25,1)</f>
        <v>1</v>
      </c>
      <c r="O23" s="24">
        <f t="shared" si="5"/>
        <v>-7.72214240791422e-5</v>
      </c>
      <c r="P23" s="23">
        <f>VLOOKUP(B23,[2]计算结果表!$B$1:$AA$25,15,0)</f>
        <v>1317.475277</v>
      </c>
      <c r="Q23" s="23">
        <f>VLOOKUP(B23,[3]计算结果表!$B$1:$AA$25,15,0)</f>
        <v>1906.928921</v>
      </c>
      <c r="R23" s="24">
        <f t="shared" si="6"/>
        <v>0.447411541066816</v>
      </c>
      <c r="S23" s="24">
        <f t="shared" si="7"/>
        <v>0.122106718012792</v>
      </c>
      <c r="T23" s="24">
        <f t="shared" si="8"/>
        <v>0.162427017367575</v>
      </c>
      <c r="U23" s="25">
        <f>RANK(T23,$T$5:$T$25,1)</f>
        <v>1</v>
      </c>
      <c r="V23" s="24">
        <f t="shared" si="9"/>
        <v>0.0403202993547836</v>
      </c>
      <c r="W23" s="31">
        <f>VLOOKUP(B23,[3]计算结果表!$B$1:$T$25,18,0)</f>
        <v>1361.833894</v>
      </c>
      <c r="X23" s="31">
        <f>VLOOKUP(B23,[3]计算结果表!$B$1:$T$25,19,0)</f>
        <v>545.095027</v>
      </c>
      <c r="Y23" s="37">
        <f>VLOOKUP(B23,[1]分ICT资源型数据!$B$1:$P$23,11,0)</f>
        <v>7065.961656</v>
      </c>
      <c r="Z23" s="37">
        <f>VLOOKUP(B23,[1]分ICT资源型数据!$B$1:$P$23,12,0)</f>
        <v>6035.403786</v>
      </c>
      <c r="AA23" s="24">
        <f t="shared" si="10"/>
        <v>0.176670607192815</v>
      </c>
      <c r="AB23" s="25">
        <f>RANK(AA23,$AA$5:$AA$25,1)</f>
        <v>7</v>
      </c>
      <c r="AC23" s="24">
        <f t="shared" si="11"/>
        <v>0.0827898942860667</v>
      </c>
      <c r="AD23" s="25">
        <f>RANK(AC23,$AC$5:$AC$25,1)</f>
        <v>1</v>
      </c>
      <c r="AE23" s="38">
        <f>VLOOKUP(B23,[2]计算结果表!$B$1:$T$25,16,0)</f>
        <v>1408.953677</v>
      </c>
      <c r="AF23" s="38">
        <f>VLOOKUP(B23,[3]计算结果表!$B$1:$T$25,16,0)</f>
        <v>852.263643999999</v>
      </c>
      <c r="AG23" s="14">
        <f t="shared" si="12"/>
        <v>-0.395108825852478</v>
      </c>
      <c r="AH23" s="14">
        <f t="shared" si="13"/>
        <v>0.0314029476292745</v>
      </c>
      <c r="AI23" s="14">
        <f t="shared" si="14"/>
        <v>0.01907739723329</v>
      </c>
      <c r="AJ23" s="25">
        <f>RANK(AI23,$AI$5:$AI$25,1)</f>
        <v>2</v>
      </c>
      <c r="AK23" s="14">
        <f t="shared" si="15"/>
        <v>-0.0123255503959845</v>
      </c>
      <c r="AL23" s="23">
        <f>VLOOKUP(B23,'[5]查询结果(2025年1月)'!$A$2:$M$29,13,0)</f>
        <v>249.276237</v>
      </c>
      <c r="AM23" s="23">
        <f>VLOOKUP(B23,'[4]查询结果(2026年1月)'!$A$2:$M$29,13,0)</f>
        <v>290.051194</v>
      </c>
      <c r="AN23" s="24">
        <f t="shared" si="16"/>
        <v>0.163573381445099</v>
      </c>
      <c r="AO23" s="25">
        <f>RANK(AN23,$AN$5:$AN$25,1)</f>
        <v>5</v>
      </c>
      <c r="AP23" s="24">
        <f t="shared" si="17"/>
        <v>0.0914295737045639</v>
      </c>
      <c r="AQ23" s="24">
        <f t="shared" si="18"/>
        <v>0.105121765577097</v>
      </c>
      <c r="AR23" s="25">
        <f>RANK(AQ23,$AQ$5:$AQ$25,1)</f>
        <v>2</v>
      </c>
      <c r="AS23" s="45">
        <f>VLOOKUP(B23,'[7]查询结果(2025年1月)'!$A$2:$M$25,13,0)</f>
        <v>160.284602</v>
      </c>
      <c r="AT23" s="45">
        <f>VLOOKUP(B23,'[6]查询结果(2026年1月)'!$A$2:$M$25,13,0)</f>
        <v>105.120911</v>
      </c>
      <c r="AU23" s="46">
        <f t="shared" si="19"/>
        <v>0.0551257626030834</v>
      </c>
      <c r="AV23" s="47">
        <f>RANK(AU23,$AU$5:$AU$25,1)</f>
        <v>2</v>
      </c>
      <c r="AW23" s="52">
        <f t="shared" si="20"/>
        <v>-0.344160888267982</v>
      </c>
      <c r="AX23" s="53">
        <f>RANK(AW23,$AW$5:$AW$25,1)</f>
        <v>4</v>
      </c>
      <c r="AY23" s="23">
        <f>VLOOKUP(B23,[2]计算结果表!$B$1:$T$25,17,0)</f>
        <v>3734.14123</v>
      </c>
      <c r="AZ23" s="23">
        <f>VLOOKUP(B23,[3]计算结果表!$B$1:$T$25,17,0)</f>
        <v>3529.895675</v>
      </c>
      <c r="BA23" s="24">
        <f t="shared" si="21"/>
        <v>-0.0546967943684337</v>
      </c>
      <c r="BB23" s="24">
        <f t="shared" si="22"/>
        <v>0.0670926781533861</v>
      </c>
      <c r="BC23" s="24">
        <f t="shared" si="23"/>
        <v>0.0625710268400833</v>
      </c>
      <c r="BD23" s="25">
        <f>RANK(BC23,$BC$5:$BC$25,0)</f>
        <v>13</v>
      </c>
      <c r="BE23" s="24">
        <f t="shared" si="24"/>
        <v>-0.00452165131330286</v>
      </c>
      <c r="BF23" s="55">
        <f>VLOOKUP(B23,[2]计算结果表!$B$1:$T$25,9,0)</f>
        <v>66.539254</v>
      </c>
      <c r="BG23" s="56">
        <f>VLOOKUP(B23,[3]计算结果表!$B$1:$T$25,9,0)</f>
        <v>67.065897</v>
      </c>
      <c r="BH23" s="57">
        <f t="shared" si="25"/>
        <v>0.00791477163239618</v>
      </c>
      <c r="BI23" s="57">
        <f t="shared" si="26"/>
        <v>0.0244052770575147</v>
      </c>
      <c r="BJ23" s="57">
        <f t="shared" si="27"/>
        <v>0.0243063488394113</v>
      </c>
      <c r="BK23" s="58">
        <f>RANK(BJ23,$BJ$5:$BJ$25,1)</f>
        <v>4</v>
      </c>
      <c r="BL23" s="59">
        <f>VLOOKUP(B23,[8]市州营业收现率202501完成!$B$1:$AH$28,6,0)</f>
        <v>4695.767819</v>
      </c>
      <c r="BM23" s="63">
        <f>VLOOKUP(B23,[9]市州营业收现率1月完成!$B$1:$AI$28,7,0)</f>
        <v>3246.190318</v>
      </c>
      <c r="BN23" s="24">
        <f>VLOOKUP(B23,[8]市州营业收现率202501完成!$B$1:$AH$28,5,0)</f>
        <v>0.8318483805589</v>
      </c>
      <c r="BO23" s="24">
        <f>VLOOKUP(B23,[9]市州营业收现率1月完成!$B$1:$AI$28,5,0)</f>
        <v>0.684683724409668</v>
      </c>
      <c r="BP23" s="58">
        <f>RANK(BO23,$BO$5:$BO$25,0)</f>
        <v>16</v>
      </c>
    </row>
    <row r="24" s="1" customFormat="1" ht="15" customHeight="1" spans="1:68">
      <c r="A24" s="10">
        <v>20</v>
      </c>
      <c r="B24" s="10" t="s">
        <v>84</v>
      </c>
      <c r="C24" s="11">
        <v>43837.1132383559</v>
      </c>
      <c r="D24" s="11">
        <v>8900.75600535587</v>
      </c>
      <c r="E24" s="12">
        <v>45301.2004900351</v>
      </c>
      <c r="F24" s="12">
        <v>10350.2004900351</v>
      </c>
      <c r="G24" s="13">
        <f t="shared" si="0"/>
        <v>0.0333983500172219</v>
      </c>
      <c r="H24" s="14">
        <f t="shared" si="1"/>
        <v>0.162845098080102</v>
      </c>
      <c r="I24" s="23">
        <f>VLOOKUP(B24,[2]计算结果表!$B$1:$AA$25,13,0)</f>
        <v>3307.521469</v>
      </c>
      <c r="J24" s="23">
        <f>VLOOKUP(B24,[3]计算结果表!$B$1:$AA$25,13,0)</f>
        <v>5528.837541</v>
      </c>
      <c r="K24" s="24">
        <f t="shared" si="2"/>
        <v>0.671595360096512</v>
      </c>
      <c r="L24" s="24">
        <f t="shared" si="3"/>
        <v>0.075450257205943</v>
      </c>
      <c r="M24" s="24">
        <f t="shared" si="4"/>
        <v>0.122046159509971</v>
      </c>
      <c r="N24" s="25">
        <f>RANK(M24,$M$5:$M$25,1)</f>
        <v>18</v>
      </c>
      <c r="O24" s="24">
        <f t="shared" si="5"/>
        <v>0.046595902304028</v>
      </c>
      <c r="P24" s="23">
        <f>VLOOKUP(B24,[2]计算结果表!$B$1:$AA$25,15,0)</f>
        <v>1761.902627</v>
      </c>
      <c r="Q24" s="23">
        <f>VLOOKUP(B24,[3]计算结果表!$B$1:$AA$25,15,0)</f>
        <v>3417.370602</v>
      </c>
      <c r="R24" s="24">
        <f t="shared" si="6"/>
        <v>0.939591070261796</v>
      </c>
      <c r="S24" s="24">
        <f t="shared" si="7"/>
        <v>0.197949772574353</v>
      </c>
      <c r="T24" s="24">
        <f t="shared" si="8"/>
        <v>0.330174338679734</v>
      </c>
      <c r="U24" s="25">
        <f>RANK(T24,$T$5:$T$25,1)</f>
        <v>4</v>
      </c>
      <c r="V24" s="24">
        <f t="shared" si="9"/>
        <v>0.132224566105381</v>
      </c>
      <c r="W24" s="31">
        <f>VLOOKUP(B24,[3]计算结果表!$B$1:$T$25,18,0)</f>
        <v>1199.171702</v>
      </c>
      <c r="X24" s="31">
        <f>VLOOKUP(B24,[3]计算结果表!$B$1:$T$25,19,0)</f>
        <v>2218.1989</v>
      </c>
      <c r="Y24" s="37">
        <f>VLOOKUP(B24,[1]分ICT资源型数据!$B$1:$P$23,11,0)</f>
        <v>4799.487616</v>
      </c>
      <c r="Z24" s="37">
        <f>VLOOKUP(B24,[1]分ICT资源型数据!$B$1:$P$23,12,0)</f>
        <v>3645.945901</v>
      </c>
      <c r="AA24" s="24">
        <f t="shared" si="10"/>
        <v>0.229032933259127</v>
      </c>
      <c r="AB24" s="25">
        <f>RANK(AA24,$AA$5:$AA$25,1)</f>
        <v>12</v>
      </c>
      <c r="AC24" s="24">
        <f t="shared" si="11"/>
        <v>0.557701361149919</v>
      </c>
      <c r="AD24" s="25">
        <f>RANK(AC24,$AC$5:$AC$25,1)</f>
        <v>4</v>
      </c>
      <c r="AE24" s="38">
        <f>VLOOKUP(B24,[2]计算结果表!$B$1:$T$25,16,0)</f>
        <v>1545.618842</v>
      </c>
      <c r="AF24" s="38">
        <f>VLOOKUP(B24,[3]计算结果表!$B$1:$T$25,16,0)</f>
        <v>2111.466939</v>
      </c>
      <c r="AG24" s="14">
        <f t="shared" si="12"/>
        <v>0.366098084226124</v>
      </c>
      <c r="AH24" s="14">
        <f t="shared" si="13"/>
        <v>0.0442409845906901</v>
      </c>
      <c r="AI24" s="14">
        <f t="shared" si="14"/>
        <v>0.0604122039140511</v>
      </c>
      <c r="AJ24" s="25">
        <f>RANK(AI24,$AI$5:$AI$25,1)</f>
        <v>20</v>
      </c>
      <c r="AK24" s="14">
        <f t="shared" si="15"/>
        <v>0.016171219323361</v>
      </c>
      <c r="AL24" s="23">
        <f>VLOOKUP(B24,'[5]查询结果(2025年1月)'!$A$2:$M$29,13,0)</f>
        <v>582.08339</v>
      </c>
      <c r="AM24" s="23">
        <f>VLOOKUP(B24,'[4]查询结果(2026年1月)'!$A$2:$M$29,13,0)</f>
        <v>1152.079601</v>
      </c>
      <c r="AN24" s="24">
        <f t="shared" si="16"/>
        <v>0.97923462650257</v>
      </c>
      <c r="AO24" s="25">
        <f>RANK(AN24,$AN$5:$AN$25,1)</f>
        <v>9</v>
      </c>
      <c r="AP24" s="24">
        <f t="shared" si="17"/>
        <v>0.175987788879262</v>
      </c>
      <c r="AQ24" s="24">
        <f t="shared" si="18"/>
        <v>0.208376461137909</v>
      </c>
      <c r="AR24" s="25">
        <f>RANK(AQ24,$AQ$5:$AQ$25,1)</f>
        <v>14</v>
      </c>
      <c r="AS24" s="45">
        <f>VLOOKUP(B24,'[7]查询结果(2025年1月)'!$A$2:$M$25,13,0)</f>
        <v>223.053004</v>
      </c>
      <c r="AT24" s="45">
        <f>VLOOKUP(B24,'[6]查询结果(2026年1月)'!$A$2:$M$25,13,0)</f>
        <v>520.846742</v>
      </c>
      <c r="AU24" s="46">
        <f t="shared" si="19"/>
        <v>0.152411547549211</v>
      </c>
      <c r="AV24" s="47">
        <f>RANK(AU24,$AU$5:$AU$25,1)</f>
        <v>7</v>
      </c>
      <c r="AW24" s="52">
        <f t="shared" si="20"/>
        <v>1.33508059815236</v>
      </c>
      <c r="AX24" s="53">
        <f>RANK(AW24,$AW$5:$AW$25,1)</f>
        <v>11</v>
      </c>
      <c r="AY24" s="23">
        <f>VLOOKUP(B24,[2]计算结果表!$B$1:$T$25,17,0)</f>
        <v>6929.526394</v>
      </c>
      <c r="AZ24" s="23">
        <f>VLOOKUP(B24,[3]计算结果表!$B$1:$T$25,17,0)</f>
        <v>6130.356484</v>
      </c>
      <c r="BA24" s="24">
        <f t="shared" si="21"/>
        <v>-0.115328215026639</v>
      </c>
      <c r="BB24" s="24">
        <f t="shared" si="22"/>
        <v>0.158074423293387</v>
      </c>
      <c r="BC24" s="24">
        <f t="shared" si="23"/>
        <v>0.135324371488753</v>
      </c>
      <c r="BD24" s="25">
        <f>RANK(BC24,$BC$5:$BC$25,0)</f>
        <v>1</v>
      </c>
      <c r="BE24" s="24">
        <f t="shared" si="24"/>
        <v>-0.0227500518046335</v>
      </c>
      <c r="BF24" s="55">
        <f>VLOOKUP(B24,[2]计算结果表!$B$1:$T$25,9,0)</f>
        <v>323.660373</v>
      </c>
      <c r="BG24" s="56">
        <f>VLOOKUP(B24,[3]计算结果表!$B$1:$T$25,9,0)</f>
        <v>262.785827</v>
      </c>
      <c r="BH24" s="57">
        <f t="shared" si="25"/>
        <v>-0.188081554240809</v>
      </c>
      <c r="BI24" s="57">
        <f t="shared" si="26"/>
        <v>0.0978558645903078</v>
      </c>
      <c r="BJ24" s="57">
        <f t="shared" si="27"/>
        <v>0.0475300323171496</v>
      </c>
      <c r="BK24" s="58">
        <f>RANK(BJ24,$BJ$5:$BJ$25,1)</f>
        <v>16</v>
      </c>
      <c r="BL24" s="59">
        <f>VLOOKUP(B24,[8]市州营业收现率202501完成!$B$1:$AH$28,6,0)</f>
        <v>1119.749081</v>
      </c>
      <c r="BM24" s="63">
        <f>VLOOKUP(B24,[9]市州营业收现率1月完成!$B$1:$AI$28,7,0)</f>
        <v>501.706987999999</v>
      </c>
      <c r="BN24" s="24">
        <f>VLOOKUP(B24,[8]市州营业收现率202501完成!$B$1:$AH$28,5,0)</f>
        <v>0.334018145020621</v>
      </c>
      <c r="BO24" s="24">
        <f>VLOOKUP(B24,[9]市州营业收现率1月完成!$B$1:$AI$28,5,0)</f>
        <v>0.134671744097753</v>
      </c>
      <c r="BP24" s="58">
        <f>RANK(BO24,$BO$5:$BO$25,0)</f>
        <v>21</v>
      </c>
    </row>
    <row r="25" s="1" customFormat="1" ht="15" customHeight="1" spans="1:68">
      <c r="A25" s="10">
        <v>21</v>
      </c>
      <c r="B25" s="10" t="s">
        <v>85</v>
      </c>
      <c r="C25" s="11">
        <v>41681.5980668821</v>
      </c>
      <c r="D25" s="11">
        <v>5590.13373888209</v>
      </c>
      <c r="E25" s="12">
        <v>40623.8028209367</v>
      </c>
      <c r="F25" s="12">
        <v>6186.80282093672</v>
      </c>
      <c r="G25" s="13">
        <f t="shared" si="0"/>
        <v>-0.025377991607905</v>
      </c>
      <c r="H25" s="14">
        <f t="shared" si="1"/>
        <v>0.106736101482601</v>
      </c>
      <c r="I25" s="23">
        <f>VLOOKUP(B25,[2]计算结果表!$B$1:$AA$25,13,0)</f>
        <v>5513.276361</v>
      </c>
      <c r="J25" s="23">
        <f>VLOOKUP(B25,[3]计算结果表!$B$1:$AA$25,13,0)</f>
        <v>4452.939981</v>
      </c>
      <c r="K25" s="24">
        <f t="shared" si="2"/>
        <v>-0.192324184490486</v>
      </c>
      <c r="L25" s="24">
        <f t="shared" si="3"/>
        <v>0.132271232790869</v>
      </c>
      <c r="M25" s="24">
        <f t="shared" si="4"/>
        <v>0.10961406052082</v>
      </c>
      <c r="N25" s="25">
        <f>RANK(M25,$M$5:$M$25,1)</f>
        <v>15</v>
      </c>
      <c r="O25" s="24">
        <f t="shared" si="5"/>
        <v>-0.0226571722700494</v>
      </c>
      <c r="P25" s="23">
        <f>VLOOKUP(B25,[2]计算结果表!$B$1:$AA$25,15,0)</f>
        <v>3112.035425</v>
      </c>
      <c r="Q25" s="23">
        <f>VLOOKUP(B25,[3]计算结果表!$B$1:$AA$25,15,0)</f>
        <v>2777.056803</v>
      </c>
      <c r="R25" s="24">
        <f t="shared" si="6"/>
        <v>-0.107639720071631</v>
      </c>
      <c r="S25" s="24">
        <f t="shared" si="7"/>
        <v>0.556701426184902</v>
      </c>
      <c r="T25" s="24">
        <f t="shared" si="8"/>
        <v>0.448867837455912</v>
      </c>
      <c r="U25" s="25">
        <f>RANK(T25,$T$5:$T$25,1)</f>
        <v>9</v>
      </c>
      <c r="V25" s="24">
        <f t="shared" si="9"/>
        <v>-0.107833588728991</v>
      </c>
      <c r="W25" s="31">
        <f>VLOOKUP(B25,[3]计算结果表!$B$1:$T$25,18,0)</f>
        <v>647.25239</v>
      </c>
      <c r="X25" s="31">
        <f>VLOOKUP(B25,[3]计算结果表!$B$1:$T$25,19,0)</f>
        <v>2129.804413</v>
      </c>
      <c r="Y25" s="37">
        <f>VLOOKUP(B25,[1]分ICT资源型数据!$B$1:$P$23,11,0)</f>
        <v>1936.283653</v>
      </c>
      <c r="Z25" s="37">
        <f>VLOOKUP(B25,[1]分ICT资源型数据!$B$1:$P$23,12,0)</f>
        <v>3160.695106</v>
      </c>
      <c r="AA25" s="24">
        <f t="shared" si="10"/>
        <v>0.306419304792495</v>
      </c>
      <c r="AB25" s="25">
        <f>RANK(AA25,$AA$5:$AA$25,1)</f>
        <v>16</v>
      </c>
      <c r="AC25" s="24">
        <f t="shared" si="11"/>
        <v>0.617687137304242</v>
      </c>
      <c r="AD25" s="25">
        <f>RANK(AC25,$AC$5:$AC$25,1)</f>
        <v>7</v>
      </c>
      <c r="AE25" s="38">
        <f>VLOOKUP(B25,[2]计算结果表!$B$1:$T$25,16,0)</f>
        <v>2401.240936</v>
      </c>
      <c r="AF25" s="38">
        <f>VLOOKUP(B25,[3]计算结果表!$B$1:$T$25,16,0)</f>
        <v>1675.883178</v>
      </c>
      <c r="AG25" s="14">
        <f t="shared" si="12"/>
        <v>-0.302076208649143</v>
      </c>
      <c r="AH25" s="14">
        <f t="shared" si="13"/>
        <v>0.0665321006146348</v>
      </c>
      <c r="AI25" s="14">
        <f t="shared" si="14"/>
        <v>0.0486651908702849</v>
      </c>
      <c r="AJ25" s="25">
        <f>RANK(AI25,$AI$5:$AI$25,1)</f>
        <v>17</v>
      </c>
      <c r="AK25" s="14">
        <f t="shared" si="15"/>
        <v>-0.0178669097443499</v>
      </c>
      <c r="AL25" s="23">
        <f>VLOOKUP(B25,'[5]查询结果(2025年1月)'!$A$2:$M$29,13,0)</f>
        <v>3137.519673</v>
      </c>
      <c r="AM25" s="23">
        <f>VLOOKUP(B25,'[4]查询结果(2026年1月)'!$A$2:$M$29,13,0)</f>
        <v>1717.026533</v>
      </c>
      <c r="AN25" s="24">
        <f t="shared" si="16"/>
        <v>-0.452743978698871</v>
      </c>
      <c r="AO25" s="25">
        <f>RANK(AN25,$AN$5:$AN$25,1)</f>
        <v>1</v>
      </c>
      <c r="AP25" s="24">
        <f t="shared" si="17"/>
        <v>0.569084418694171</v>
      </c>
      <c r="AQ25" s="24">
        <f t="shared" si="18"/>
        <v>0.385593908816711</v>
      </c>
      <c r="AR25" s="25">
        <f>RANK(AQ25,$AQ$5:$AQ$25,1)</f>
        <v>20</v>
      </c>
      <c r="AS25" s="45">
        <f>VLOOKUP(B25,'[7]查询结果(2025年1月)'!$A$2:$M$25,13,0)</f>
        <v>1674.38511</v>
      </c>
      <c r="AT25" s="45">
        <f>VLOOKUP(B25,'[6]查询结果(2026年1月)'!$A$2:$M$25,13,0)</f>
        <v>796.189909</v>
      </c>
      <c r="AU25" s="46">
        <f t="shared" si="19"/>
        <v>0.28670278121063</v>
      </c>
      <c r="AV25" s="47">
        <f>RANK(AU25,$AU$5:$AU$25,1)</f>
        <v>20</v>
      </c>
      <c r="AW25" s="52">
        <f t="shared" si="20"/>
        <v>-0.524488181216566</v>
      </c>
      <c r="AX25" s="53">
        <f>RANK(AW25,$AW$5:$AW$25,1)</f>
        <v>1</v>
      </c>
      <c r="AY25" s="23">
        <f>VLOOKUP(B25,[2]计算结果表!$B$1:$T$25,17,0)</f>
        <v>4569.06681</v>
      </c>
      <c r="AZ25" s="23">
        <f>VLOOKUP(B25,[3]计算结果表!$B$1:$T$25,17,0)</f>
        <v>3572.351079</v>
      </c>
      <c r="BA25" s="24">
        <f t="shared" si="21"/>
        <v>-0.218144267187899</v>
      </c>
      <c r="BB25" s="24">
        <f t="shared" si="22"/>
        <v>0.109618321319362</v>
      </c>
      <c r="BC25" s="24">
        <f t="shared" si="23"/>
        <v>0.0879373872196643</v>
      </c>
      <c r="BD25" s="25">
        <f>RANK(BC25,$BC$5:$BC$25,0)</f>
        <v>5</v>
      </c>
      <c r="BE25" s="24">
        <f t="shared" si="24"/>
        <v>-0.0216809340996982</v>
      </c>
      <c r="BF25" s="55">
        <f>VLOOKUP(B25,[2]计算结果表!$B$1:$T$25,9,0)</f>
        <v>-13.527662</v>
      </c>
      <c r="BG25" s="56">
        <f>VLOOKUP(B25,[3]计算结果表!$B$1:$T$25,9,0)</f>
        <v>128.651978</v>
      </c>
      <c r="BH25" s="57">
        <f t="shared" si="25"/>
        <v>-10.5102892133171</v>
      </c>
      <c r="BI25" s="57">
        <f t="shared" si="26"/>
        <v>-0.00245365207804427</v>
      </c>
      <c r="BJ25" s="57">
        <f t="shared" si="27"/>
        <v>0.0288914691302685</v>
      </c>
      <c r="BK25" s="58">
        <f>RANK(BJ25,$BJ$5:$BJ$25,1)</f>
        <v>6</v>
      </c>
      <c r="BL25" s="59">
        <f>VLOOKUP(B25,[8]市州营业收现率202501完成!$B$1:$AH$28,6,0)</f>
        <v>3518.367137</v>
      </c>
      <c r="BM25" s="63">
        <f>VLOOKUP(B25,[9]市州营业收现率1月完成!$B$1:$AI$28,7,0)</f>
        <v>1888.908158</v>
      </c>
      <c r="BN25" s="24">
        <f>VLOOKUP(B25,[8]市州营业收现率202501完成!$B$1:$AH$28,5,0)</f>
        <v>1.01732074428752</v>
      </c>
      <c r="BO25" s="24">
        <f>VLOOKUP(B25,[9]市州营业收现率1月完成!$B$1:$AI$28,5,0)</f>
        <v>0.503553928399957</v>
      </c>
      <c r="BP25" s="58">
        <f>RANK(BO25,$BO$5:$BO$25,0)</f>
        <v>19</v>
      </c>
    </row>
    <row r="26" s="2" customFormat="1" ht="15" customHeight="1" spans="1:68">
      <c r="A26" s="15">
        <v>22</v>
      </c>
      <c r="B26" s="15" t="s">
        <v>86</v>
      </c>
      <c r="C26" s="16">
        <f t="shared" ref="C26:F26" si="28">SUM(C5:C25)</f>
        <v>3051811.98025629</v>
      </c>
      <c r="D26" s="16">
        <f t="shared" si="28"/>
        <v>429644.336208292</v>
      </c>
      <c r="E26" s="16">
        <f t="shared" si="28"/>
        <v>3108676.88710614</v>
      </c>
      <c r="F26" s="16">
        <f t="shared" si="28"/>
        <v>486690.265586706</v>
      </c>
      <c r="G26" s="16"/>
      <c r="H26" s="17"/>
      <c r="I26" s="17">
        <f>SUM(I5:I25)</f>
        <v>216671.221559</v>
      </c>
      <c r="J26" s="17">
        <f>SUM(J5:J25)</f>
        <v>285398.856541</v>
      </c>
      <c r="K26" s="26">
        <f t="shared" si="2"/>
        <v>0.317197800831548</v>
      </c>
      <c r="L26" s="26">
        <f t="shared" si="3"/>
        <v>0.0709975656956441</v>
      </c>
      <c r="M26" s="26">
        <f t="shared" si="4"/>
        <v>0.0918071793581215</v>
      </c>
      <c r="N26" s="26"/>
      <c r="O26" s="26">
        <f t="shared" si="5"/>
        <v>0.0208096136624773</v>
      </c>
      <c r="P26" s="17">
        <f>SUM(P5:P25)</f>
        <v>131867.99178</v>
      </c>
      <c r="Q26" s="17">
        <f>SUM(Q5:Q25)</f>
        <v>200433.190428</v>
      </c>
      <c r="R26" s="32">
        <f t="shared" si="6"/>
        <v>0.519953308778599</v>
      </c>
      <c r="S26" s="26">
        <f t="shared" si="7"/>
        <v>0.306923612548381</v>
      </c>
      <c r="T26" s="26">
        <f t="shared" si="8"/>
        <v>0.411829051453038</v>
      </c>
      <c r="U26" s="26"/>
      <c r="V26" s="26">
        <f t="shared" si="9"/>
        <v>0.104905438904657</v>
      </c>
      <c r="W26" s="33">
        <f t="shared" ref="W26:Z26" si="29">SUM(W5:W25)</f>
        <v>35541.565473</v>
      </c>
      <c r="X26" s="33">
        <f t="shared" si="29"/>
        <v>164891.624955</v>
      </c>
      <c r="Y26" s="33">
        <f t="shared" si="29"/>
        <v>171371.326588</v>
      </c>
      <c r="Z26" s="33">
        <f t="shared" si="29"/>
        <v>256134.060763</v>
      </c>
      <c r="AA26" s="26">
        <f t="shared" si="10"/>
        <v>0.190112132518973</v>
      </c>
      <c r="AB26" s="26"/>
      <c r="AC26" s="26">
        <f t="shared" si="11"/>
        <v>0.59012321812447</v>
      </c>
      <c r="AD26" s="26"/>
      <c r="AE26" s="33">
        <f>SUM(AE5:AE25)</f>
        <v>84803.229779</v>
      </c>
      <c r="AF26" s="33">
        <f>SUM(AF5:AF25)</f>
        <v>84965.666113</v>
      </c>
      <c r="AG26" s="32">
        <f t="shared" si="12"/>
        <v>0.00191544985283398</v>
      </c>
      <c r="AH26" s="26">
        <f t="shared" si="13"/>
        <v>0.0323408878801067</v>
      </c>
      <c r="AI26" s="26">
        <f t="shared" si="14"/>
        <v>0.032405072327853</v>
      </c>
      <c r="AJ26" s="26"/>
      <c r="AK26" s="26">
        <f t="shared" si="15"/>
        <v>6.41844477462378e-5</v>
      </c>
      <c r="AL26" s="17">
        <f>SUM(AL5:AL25)</f>
        <v>38202.337877</v>
      </c>
      <c r="AM26" s="17">
        <f>SUM(AM5:AM25)</f>
        <v>56901.068184</v>
      </c>
      <c r="AN26" s="26">
        <f t="shared" si="16"/>
        <v>0.489465602005937</v>
      </c>
      <c r="AO26" s="26"/>
      <c r="AP26" s="26">
        <f t="shared" si="17"/>
        <v>0.176314775917749</v>
      </c>
      <c r="AQ26" s="26">
        <f t="shared" si="18"/>
        <v>0.199373847791943</v>
      </c>
      <c r="AR26" s="26"/>
      <c r="AS26" s="48">
        <f>SUM(AS5:AS25)</f>
        <v>21415.723933</v>
      </c>
      <c r="AT26" s="48">
        <f>SUM(AT5:AT25)</f>
        <v>36358.532152</v>
      </c>
      <c r="AU26" s="49">
        <f t="shared" si="19"/>
        <v>0.181399757566902</v>
      </c>
      <c r="AV26" s="49"/>
      <c r="AW26" s="54">
        <f t="shared" si="20"/>
        <v>0.697749385720007</v>
      </c>
      <c r="AX26" s="54"/>
      <c r="AY26" s="17">
        <f>SUM(AY5:AY25)</f>
        <v>236350.018862</v>
      </c>
      <c r="AZ26" s="17">
        <f>SUM(AZ5:AZ25)</f>
        <v>234475.572844</v>
      </c>
      <c r="BA26" s="32">
        <f t="shared" si="21"/>
        <v>-0.00793080545127611</v>
      </c>
      <c r="BB26" s="26">
        <f t="shared" si="22"/>
        <v>0.0774457995417368</v>
      </c>
      <c r="BC26" s="26">
        <f t="shared" si="23"/>
        <v>0.0754261640431447</v>
      </c>
      <c r="BD26" s="26"/>
      <c r="BE26" s="26">
        <f t="shared" si="24"/>
        <v>-0.00201963549859216</v>
      </c>
      <c r="BF26" s="60">
        <f>SUM(BF5:BF25)</f>
        <v>2513.768305</v>
      </c>
      <c r="BG26" s="60">
        <f>SUM(BG5:BG25)</f>
        <v>9289.75174</v>
      </c>
      <c r="BH26" s="61">
        <f t="shared" si="25"/>
        <v>2.69554812252277</v>
      </c>
      <c r="BI26" s="61">
        <f t="shared" si="26"/>
        <v>0.0116017636625337</v>
      </c>
      <c r="BJ26" s="61">
        <f t="shared" si="27"/>
        <v>0.0325500664319076</v>
      </c>
      <c r="BK26" s="62"/>
      <c r="BL26" s="59">
        <f>VLOOKUP(B26,[8]市州营业收现率202501完成!$B$1:$AH$28,6,0)</f>
        <v>236589.331234</v>
      </c>
      <c r="BM26" s="63">
        <f>VLOOKUP(B26,[9]市州营业收现率1月完成!$B$1:$AI$28,7,0)</f>
        <v>203501.843905</v>
      </c>
      <c r="BN26" s="24">
        <f>VLOOKUP(B26,[8]市州营业收现率202501完成!$B$1:$AH$28,5,0)</f>
        <v>0.890386066880709</v>
      </c>
      <c r="BO26" s="24">
        <f>VLOOKUP(B26,[9]市州营业收现率1月完成!$B$1:$AI$28,5,0)</f>
        <v>0.803849452391953</v>
      </c>
      <c r="BP26" s="62"/>
    </row>
    <row r="28" spans="32:58">
      <c r="AF28" s="39"/>
      <c r="AG28" s="39"/>
      <c r="AH28" s="39"/>
      <c r="AI28" s="39"/>
      <c r="AJ28" s="39"/>
      <c r="AK28" s="39"/>
      <c r="AL28" s="39"/>
      <c r="AM28" s="39"/>
      <c r="AN28" s="39"/>
      <c r="AO28" s="39"/>
      <c r="AP28" s="39"/>
      <c r="AQ28" s="39"/>
      <c r="AR28" s="39"/>
      <c r="AS28" s="39"/>
      <c r="AT28" s="39"/>
      <c r="AU28" s="39"/>
      <c r="AV28" s="39"/>
      <c r="AW28" s="39"/>
      <c r="AX28" s="39"/>
      <c r="AY28" s="39"/>
      <c r="AZ28" s="39"/>
      <c r="BA28" s="39"/>
      <c r="BB28" s="39"/>
      <c r="BC28" s="39"/>
      <c r="BD28" s="39"/>
      <c r="BE28" s="39"/>
      <c r="BF28" s="39"/>
    </row>
  </sheetData>
  <mergeCells count="80">
    <mergeCell ref="A1:BP1"/>
    <mergeCell ref="C2:D2"/>
    <mergeCell ref="E2:H2"/>
    <mergeCell ref="I2:O2"/>
    <mergeCell ref="P2:V2"/>
    <mergeCell ref="W2:AD2"/>
    <mergeCell ref="AE2:AK2"/>
    <mergeCell ref="AL2:AR2"/>
    <mergeCell ref="AS2:AX2"/>
    <mergeCell ref="AY2:BE2"/>
    <mergeCell ref="BF2:BK2"/>
    <mergeCell ref="BL2:BP2"/>
    <mergeCell ref="A2:A4"/>
    <mergeCell ref="B2:B4"/>
    <mergeCell ref="C3:C4"/>
    <mergeCell ref="D3:D4"/>
    <mergeCell ref="E3:E4"/>
    <mergeCell ref="F3:F4"/>
    <mergeCell ref="G3:G4"/>
    <mergeCell ref="H3:H4"/>
    <mergeCell ref="I3:I4"/>
    <mergeCell ref="J3:J4"/>
    <mergeCell ref="K3:K4"/>
    <mergeCell ref="L3:L4"/>
    <mergeCell ref="M3:M4"/>
    <mergeCell ref="N3:N4"/>
    <mergeCell ref="O3:O4"/>
    <mergeCell ref="P3:P4"/>
    <mergeCell ref="Q3:Q4"/>
    <mergeCell ref="R3:R4"/>
    <mergeCell ref="S3:S4"/>
    <mergeCell ref="T3:T4"/>
    <mergeCell ref="U3:U4"/>
    <mergeCell ref="V3:V4"/>
    <mergeCell ref="W3:W4"/>
    <mergeCell ref="X3:X4"/>
    <mergeCell ref="Y3:Y4"/>
    <mergeCell ref="Z3:Z4"/>
    <mergeCell ref="AA3:AA4"/>
    <mergeCell ref="AB3:AB4"/>
    <mergeCell ref="AC3:AC4"/>
    <mergeCell ref="AD3:AD4"/>
    <mergeCell ref="AE3:AE4"/>
    <mergeCell ref="AF3:AF4"/>
    <mergeCell ref="AG3:AG4"/>
    <mergeCell ref="AH3:AH4"/>
    <mergeCell ref="AI3:AI4"/>
    <mergeCell ref="AJ3:AJ4"/>
    <mergeCell ref="AK3:AK4"/>
    <mergeCell ref="AL3:AL4"/>
    <mergeCell ref="AM3:AM4"/>
    <mergeCell ref="AN3:AN4"/>
    <mergeCell ref="AO3:AO4"/>
    <mergeCell ref="AP3:AP4"/>
    <mergeCell ref="AQ3:AQ4"/>
    <mergeCell ref="AR3:AR4"/>
    <mergeCell ref="AS3:AS4"/>
    <mergeCell ref="AT3:AT4"/>
    <mergeCell ref="AU3:AU4"/>
    <mergeCell ref="AV3:AV4"/>
    <mergeCell ref="AW3:AW4"/>
    <mergeCell ref="AX3:AX4"/>
    <mergeCell ref="AY3:AY4"/>
    <mergeCell ref="AZ3:AZ4"/>
    <mergeCell ref="BA3:BA4"/>
    <mergeCell ref="BB3:BB4"/>
    <mergeCell ref="BC3:BC4"/>
    <mergeCell ref="BD3:BD4"/>
    <mergeCell ref="BE3:BE4"/>
    <mergeCell ref="BF3:BF4"/>
    <mergeCell ref="BG3:BG4"/>
    <mergeCell ref="BH3:BH4"/>
    <mergeCell ref="BI3:BI4"/>
    <mergeCell ref="BJ3:BJ4"/>
    <mergeCell ref="BK3:BK4"/>
    <mergeCell ref="BL3:BL4"/>
    <mergeCell ref="BM3:BM4"/>
    <mergeCell ref="BN3:BN4"/>
    <mergeCell ref="BO3:BO4"/>
    <mergeCell ref="BP3:BP4"/>
  </mergeCells>
  <conditionalFormatting sqref="AI26:AJ26">
    <cfRule type="top10" dxfId="0" priority="14" rank="5"/>
  </conditionalFormatting>
  <conditionalFormatting sqref="K5:K25">
    <cfRule type="top10" dxfId="0" priority="12" rank="5"/>
  </conditionalFormatting>
  <conditionalFormatting sqref="R5:R25">
    <cfRule type="top10" dxfId="0" priority="10" rank="5"/>
  </conditionalFormatting>
  <conditionalFormatting sqref="U5:U25">
    <cfRule type="top10" dxfId="0" priority="5" rank="5"/>
  </conditionalFormatting>
  <conditionalFormatting sqref="BA5:BA25">
    <cfRule type="top10" dxfId="0" priority="9" bottom="1" rank="5"/>
  </conditionalFormatting>
  <conditionalFormatting sqref="BN5:BN26">
    <cfRule type="top10" dxfId="0" priority="2" bottom="1" rank="5"/>
  </conditionalFormatting>
  <conditionalFormatting sqref="BO5:BO26">
    <cfRule type="top10" dxfId="0" priority="1" bottom="1" rank="5"/>
  </conditionalFormatting>
  <conditionalFormatting sqref="M5:N25">
    <cfRule type="top10" dxfId="0" priority="8" rank="5"/>
  </conditionalFormatting>
  <conditionalFormatting sqref="T26:U26 T5:T25">
    <cfRule type="top10" dxfId="0" priority="13" rank="5"/>
  </conditionalFormatting>
  <conditionalFormatting sqref="AB26 AA5:AA26">
    <cfRule type="top10" dxfId="0" priority="4" rank="5"/>
  </conditionalFormatting>
  <conditionalFormatting sqref="AD26 AC5:AC26">
    <cfRule type="top10" dxfId="0" priority="3" rank="5"/>
  </conditionalFormatting>
  <conditionalFormatting sqref="AN5:AO25">
    <cfRule type="top10" dxfId="0" priority="11" rank="5"/>
  </conditionalFormatting>
  <conditionalFormatting sqref="AQ5:AR25">
    <cfRule type="top10" dxfId="0" priority="7" rank="5"/>
  </conditionalFormatting>
  <conditionalFormatting sqref="BC5:BD25">
    <cfRule type="top10" dxfId="0" priority="6" bottom="1" rank="5"/>
  </conditionalFormatting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Company>四川分公司</Company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2026年1月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NTKO</dc:creator>
  <cp:lastModifiedBy>admin</cp:lastModifiedBy>
  <dcterms:created xsi:type="dcterms:W3CDTF">2026-03-10T03:18:00Z</dcterms:created>
  <dcterms:modified xsi:type="dcterms:W3CDTF">2026-03-26T02:45:28Z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11961169A36243BFBF7045B0F97E7B29</vt:lpwstr>
  </property>
  <property fmtid="{D5CDD505-2E9C-101B-9397-08002B2CF9AE}" pid="3" name="KSOProductBuildVer">
    <vt:lpwstr>2052-12.8.2.15091</vt:lpwstr>
  </property>
</Properties>
</file>