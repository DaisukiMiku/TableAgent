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标分析总览" sheetId="1" state="visible" r:id="rId1"/>
    <sheet xmlns:r="http://schemas.openxmlformats.org/officeDocument/2006/relationships" name="营收增长对比" sheetId="2" state="visible" r:id="rId2"/>
    <sheet xmlns:r="http://schemas.openxmlformats.org/officeDocument/2006/relationships" name="利润率对比" sheetId="3" state="visible" r:id="rId3"/>
    <sheet xmlns:r="http://schemas.openxmlformats.org/officeDocument/2006/relationships" name="估值对比" sheetId="4" state="visible" r:id="rId4"/>
    <sheet xmlns:r="http://schemas.openxmlformats.org/officeDocument/2006/relationships" name="数据来源与假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CC0000"/>
      <sz val="9"/>
    </font>
    <font>
      <name val="Arial"/>
      <i val="1"/>
      <color rgb="00666666"/>
      <sz val="8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0"/>
    </font>
    <font>
      <name val="Arial"/>
      <color rgb="00666666"/>
      <sz val="10"/>
    </font>
    <font>
      <name val="Arial"/>
      <sz val="10"/>
    </font>
    <font>
      <name val="Arial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6" fontId="7" fillId="3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奢侈品行业对标分析: Hermès vs 同业 (FY2025)</t>
        </is>
      </c>
    </row>
    <row r="2">
      <c r="A2" s="2" t="inlineStr">
        <is>
          <t>数据来源限制说明: 本表Hermès数据来自原始20年全景数据集; LVMH/Kering/Richemont数据基于公开财报摘要及行业估算，非实时API数据。</t>
        </is>
      </c>
    </row>
    <row r="3">
      <c r="A3" s="3" t="inlineStr">
        <is>
          <t>Source: Hermès Annual Report 2025; LVMH/Kering/Richemont estimates from FY2025 public filings &amp; industry consensus. Marked with † where estimated.</t>
        </is>
      </c>
    </row>
    <row r="4">
      <c r="A4" s="4" t="inlineStr">
        <is>
          <t>指标 Metric</t>
        </is>
      </c>
      <c r="B4" s="4" t="inlineStr">
        <is>
          <t>Hermès
(RMS.PA)</t>
        </is>
      </c>
      <c r="C4" s="4" t="inlineStr">
        <is>
          <t>LVMH
(MC.PA)</t>
        </is>
      </c>
      <c r="D4" s="4" t="inlineStr">
        <is>
          <t>Kering
(KER.PA)</t>
        </is>
      </c>
      <c r="E4" s="4" t="inlineStr">
        <is>
          <t>Richemont
(CFR.SW)</t>
        </is>
      </c>
      <c r="F4" s="4" t="inlineStr">
        <is>
          <t>Hermès
排名</t>
        </is>
      </c>
      <c r="G4" s="4" t="inlineStr">
        <is>
          <t>Hermès vs
行业均值</t>
        </is>
      </c>
      <c r="H4" s="4" t="inlineStr">
        <is>
          <t>Hermès vs
行业最优</t>
        </is>
      </c>
    </row>
    <row r="5">
      <c r="A5" s="5" t="inlineStr">
        <is>
          <t>营收 Revenue (EUR bn)</t>
        </is>
      </c>
      <c r="B5" s="6" t="n">
        <v>16</v>
      </c>
      <c r="C5" s="7" t="n">
        <v>86.2</v>
      </c>
      <c r="D5" s="7" t="n">
        <v>17.1</v>
      </c>
      <c r="E5" s="7" t="n">
        <v>20.6</v>
      </c>
      <c r="F5" s="8">
        <f>RANK(B5,B5:E5,0)</f>
        <v/>
      </c>
      <c r="G5" s="9">
        <f>B5/AVERAGE(C5:E5)-1</f>
        <v/>
      </c>
      <c r="H5" s="9">
        <f>B5/MAX(C5:E5)-1</f>
        <v/>
      </c>
    </row>
    <row r="6">
      <c r="A6" s="5" t="inlineStr">
        <is>
          <t>营业利润 Op. Income (EUR bn)</t>
        </is>
      </c>
      <c r="B6" s="6" t="n">
        <v>6.57</v>
      </c>
      <c r="C6" s="7" t="n">
        <v>19.8</v>
      </c>
      <c r="D6" s="7" t="n">
        <v>4.25</v>
      </c>
      <c r="E6" s="7" t="n">
        <v>5.5</v>
      </c>
      <c r="F6" s="8">
        <f>RANK(B6,B6:E6,0)</f>
        <v/>
      </c>
      <c r="G6" s="9">
        <f>B6/AVERAGE(C6:E6)-1</f>
        <v/>
      </c>
      <c r="H6" s="9">
        <f>B6/MAX(C6:E6)-1</f>
        <v/>
      </c>
    </row>
    <row r="7">
      <c r="A7" s="5" t="inlineStr">
        <is>
          <t>营业利润率 Op. Margin (%)</t>
        </is>
      </c>
      <c r="B7" s="10" t="n">
        <v>41.1</v>
      </c>
      <c r="C7" s="11" t="n">
        <v>23</v>
      </c>
      <c r="D7" s="11" t="n">
        <v>24.8</v>
      </c>
      <c r="E7" s="11" t="n">
        <v>26.7</v>
      </c>
      <c r="F7" s="8">
        <f>RANK(B7,B7:E7,0)</f>
        <v/>
      </c>
      <c r="G7" s="9">
        <f>B7/AVERAGE(C7:E7)-1</f>
        <v/>
      </c>
      <c r="H7" s="9">
        <f>B7/MAX(C7:E7)-1</f>
        <v/>
      </c>
    </row>
    <row r="8">
      <c r="A8" s="5" t="inlineStr">
        <is>
          <t>净利润 Net Income (EUR bn)</t>
        </is>
      </c>
      <c r="B8" s="6" t="n">
        <v>4.52</v>
      </c>
      <c r="C8" s="7" t="n">
        <v>13.8</v>
      </c>
      <c r="D8" s="7" t="n">
        <v>2.98</v>
      </c>
      <c r="E8" s="7" t="n">
        <v>3.8</v>
      </c>
      <c r="F8" s="8">
        <f>RANK(B8,B8:E8,0)</f>
        <v/>
      </c>
      <c r="G8" s="9">
        <f>B8/AVERAGE(C8:E8)-1</f>
        <v/>
      </c>
      <c r="H8" s="9">
        <f>B8/MAX(C8:E8)-1</f>
        <v/>
      </c>
    </row>
    <row r="9">
      <c r="A9" s="5" t="inlineStr">
        <is>
          <t>净利率 Net Margin (%)</t>
        </is>
      </c>
      <c r="B9" s="10" t="n">
        <v>28.3</v>
      </c>
      <c r="C9" s="11" t="n">
        <v>16</v>
      </c>
      <c r="D9" s="11" t="n">
        <v>17.4</v>
      </c>
      <c r="E9" s="11" t="n">
        <v>18.4</v>
      </c>
      <c r="F9" s="8">
        <f>RANK(B9,B9:E9,0)</f>
        <v/>
      </c>
      <c r="G9" s="9">
        <f>B9/AVERAGE(C9:E9)-1</f>
        <v/>
      </c>
      <c r="H9" s="9">
        <f>B9/MAX(C9:E9)-1</f>
        <v/>
      </c>
    </row>
    <row r="10">
      <c r="A10" s="5" t="inlineStr">
        <is>
          <t>员工数 Employees</t>
        </is>
      </c>
      <c r="B10" s="12" t="n">
        <v>26494</v>
      </c>
      <c r="C10" s="13" t="n">
        <v>213000</v>
      </c>
      <c r="D10" s="13" t="n">
        <v>49000</v>
      </c>
      <c r="E10" s="13" t="n">
        <v>38000</v>
      </c>
      <c r="F10" s="8">
        <f>RANK(B10,B10:E10,0)</f>
        <v/>
      </c>
      <c r="G10" s="9">
        <f>B10/AVERAGE(C10:E10)-1</f>
        <v/>
      </c>
      <c r="H10" s="9">
        <f>B10/MAX(C10:E10)-1</f>
        <v/>
      </c>
    </row>
    <row r="11">
      <c r="A11" s="5" t="inlineStr">
        <is>
          <t>人均营收 Rev/Emp (kEUR)</t>
        </is>
      </c>
      <c r="B11" s="6" t="n">
        <v>604</v>
      </c>
      <c r="C11" s="7" t="n">
        <v>405</v>
      </c>
      <c r="D11" s="7" t="n">
        <v>349</v>
      </c>
      <c r="E11" s="7" t="n">
        <v>542</v>
      </c>
      <c r="F11" s="8">
        <f>RANK(B11,B11:E11,0)</f>
        <v/>
      </c>
      <c r="G11" s="9">
        <f>B11/AVERAGE(C11:E11)-1</f>
        <v/>
      </c>
      <c r="H11" s="9">
        <f>B11/MAX(C11:E11)-1</f>
        <v/>
      </c>
    </row>
    <row r="12">
      <c r="A12" s="5" t="inlineStr">
        <is>
          <t>门店数 Stores</t>
        </is>
      </c>
      <c r="B12" s="12" t="n">
        <v>294</v>
      </c>
      <c r="C12" s="13" t="n">
        <v>6097</v>
      </c>
      <c r="D12" s="13" t="n">
        <v>1813</v>
      </c>
      <c r="E12" s="13" t="n">
        <v>2639</v>
      </c>
      <c r="F12" s="8">
        <f>RANK(B12,B12:E12,0)</f>
        <v/>
      </c>
      <c r="G12" s="9">
        <f>B12/AVERAGE(C12:E12)-1</f>
        <v/>
      </c>
      <c r="H12" s="9">
        <f>B12/MAX(C12:E12)-1</f>
        <v/>
      </c>
    </row>
    <row r="13">
      <c r="A13" s="5" t="inlineStr">
        <is>
          <t>单店营收 Rev/Store (EUR m)</t>
        </is>
      </c>
      <c r="B13" s="6" t="n">
        <v>54.4</v>
      </c>
      <c r="C13" s="7" t="n">
        <v>14.1</v>
      </c>
      <c r="D13" s="7" t="n">
        <v>9.4</v>
      </c>
      <c r="E13" s="7" t="n">
        <v>7.8</v>
      </c>
      <c r="F13" s="8">
        <f>RANK(B13,B13:E13,0)</f>
        <v/>
      </c>
      <c r="G13" s="9">
        <f>B13/AVERAGE(C13:E13)-1</f>
        <v/>
      </c>
      <c r="H13" s="9">
        <f>B13/MAX(C13:E13)-1</f>
        <v/>
      </c>
    </row>
    <row r="14">
      <c r="A14" s="5" t="inlineStr">
        <is>
          <t>市值 Mkt Cap (EUR bn)</t>
        </is>
      </c>
      <c r="B14" s="6" t="n">
        <v>258.6</v>
      </c>
      <c r="C14" s="7" t="n">
        <v>352</v>
      </c>
      <c r="D14" s="7" t="n">
        <v>28.5</v>
      </c>
      <c r="E14" s="7" t="n">
        <v>85</v>
      </c>
      <c r="F14" s="8">
        <f>RANK(B14,B14:E14,0)</f>
        <v/>
      </c>
      <c r="G14" s="9">
        <f>B14/AVERAGE(C14:E14)-1</f>
        <v/>
      </c>
      <c r="H14" s="9">
        <f>B14/MAX(C14:E14)-1</f>
        <v/>
      </c>
    </row>
    <row r="15">
      <c r="A15" s="5" t="inlineStr">
        <is>
          <t>5年营收 CAGR (%)</t>
        </is>
      </c>
      <c r="B15" s="10" t="n">
        <v>13.2</v>
      </c>
      <c r="C15" s="11" t="n">
        <v>9.5</v>
      </c>
      <c r="D15" s="11" t="n">
        <v>5.8</v>
      </c>
      <c r="E15" s="11" t="n">
        <v>8.199999999999999</v>
      </c>
      <c r="F15" s="8">
        <f>RANK(B15,B15:E15,0)</f>
        <v/>
      </c>
      <c r="G15" s="9">
        <f>B15/AVERAGE(C15:E15)-1</f>
        <v/>
      </c>
      <c r="H15" s="9">
        <f>B15/MAX(C15:E15)-1</f>
        <v/>
      </c>
    </row>
    <row r="16">
      <c r="A16" s="5" t="inlineStr">
        <is>
          <t>P/E (倍)</t>
        </is>
      </c>
      <c r="B16" s="10" t="n">
        <v>57.2</v>
      </c>
      <c r="C16" s="11" t="n">
        <v>25.5</v>
      </c>
      <c r="D16" s="11" t="n">
        <v>9.6</v>
      </c>
      <c r="E16" s="11" t="n">
        <v>22.4</v>
      </c>
      <c r="F16" s="8">
        <f>RANK(B16,B16:E16,0)</f>
        <v/>
      </c>
      <c r="G16" s="9">
        <f>B16/AVERAGE(C16:E16)-1</f>
        <v/>
      </c>
      <c r="H16" s="9">
        <f>B16/MAX(C16:E16)-1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营收增长趋势对比 (2021-2025)</t>
        </is>
      </c>
    </row>
    <row r="2">
      <c r="A2" s="2" t="inlineStr">
        <is>
          <t>Hermès数据来源: Annual Reports; 同业数据: 公开财报估算†</t>
        </is>
      </c>
    </row>
    <row r="3">
      <c r="A3" s="4" t="inlineStr">
        <is>
          <t>Year</t>
        </is>
      </c>
      <c r="B3" s="4" t="inlineStr">
        <is>
          <t>Hermès
(EUR m)</t>
        </is>
      </c>
      <c r="C3" s="4" t="inlineStr">
        <is>
          <t>LVMH†
(EUR m)</t>
        </is>
      </c>
      <c r="D3" s="4" t="inlineStr">
        <is>
          <t>Kering†
(EUR m)</t>
        </is>
      </c>
      <c r="E3" s="4" t="inlineStr">
        <is>
          <t>Richemont†
(EUR m)</t>
        </is>
      </c>
      <c r="F3" s="4" t="inlineStr">
        <is>
          <t>Hermès
Growth %</t>
        </is>
      </c>
    </row>
    <row r="4">
      <c r="A4" s="14" t="n">
        <v>2021</v>
      </c>
      <c r="B4" s="12" t="n">
        <v>8981</v>
      </c>
      <c r="C4" s="13" t="n">
        <v>64200</v>
      </c>
      <c r="D4" s="13" t="n">
        <v>17600</v>
      </c>
      <c r="E4" s="13" t="n">
        <v>13100</v>
      </c>
      <c r="F4" s="10" t="inlineStr">
        <is>
          <t>—</t>
        </is>
      </c>
    </row>
    <row r="5">
      <c r="A5" s="14" t="n">
        <v>2022</v>
      </c>
      <c r="B5" s="12" t="n">
        <v>11601</v>
      </c>
      <c r="C5" s="13" t="n">
        <v>79200</v>
      </c>
      <c r="D5" s="13" t="n">
        <v>20400</v>
      </c>
      <c r="E5" s="13" t="n">
        <v>16800</v>
      </c>
      <c r="F5" s="10">
        <f>(B5-B4)/B4*100</f>
        <v/>
      </c>
    </row>
    <row r="6">
      <c r="A6" s="14" t="n">
        <v>2023</v>
      </c>
      <c r="B6" s="12" t="n">
        <v>13427</v>
      </c>
      <c r="C6" s="13" t="n">
        <v>86200</v>
      </c>
      <c r="D6" s="13" t="n">
        <v>19600</v>
      </c>
      <c r="E6" s="13" t="n">
        <v>19900</v>
      </c>
      <c r="F6" s="10">
        <f>(B6-B5)/B5*100</f>
        <v/>
      </c>
    </row>
    <row r="7">
      <c r="A7" s="14" t="n">
        <v>2024</v>
      </c>
      <c r="B7" s="12" t="n">
        <v>15170</v>
      </c>
      <c r="C7" s="13" t="n">
        <v>84700</v>
      </c>
      <c r="D7" s="13" t="n">
        <v>17200</v>
      </c>
      <c r="E7" s="13" t="n">
        <v>20600</v>
      </c>
      <c r="F7" s="10">
        <f>(B7-B6)/B6*100</f>
        <v/>
      </c>
    </row>
    <row r="8">
      <c r="A8" s="14" t="n">
        <v>2025</v>
      </c>
      <c r="B8" s="12" t="n">
        <v>16002</v>
      </c>
      <c r="C8" s="13" t="n">
        <v>86200</v>
      </c>
      <c r="D8" s="13" t="n">
        <v>17100</v>
      </c>
      <c r="E8" s="13" t="n">
        <v>20600</v>
      </c>
      <c r="F8" s="10">
        <f>(B8-B7)/B7*100</f>
        <v/>
      </c>
    </row>
    <row r="9">
      <c r="A9" s="15" t="inlineStr">
        <is>
          <t>5Y CAGR</t>
        </is>
      </c>
      <c r="B9" s="16">
        <f>((B8/B4)^(1/4)-1)*100</f>
        <v/>
      </c>
      <c r="C9" s="16">
        <f>((C8/C4)^(1/4)-1)*100</f>
        <v/>
      </c>
      <c r="D9" s="16">
        <f>((D8/D4)^(1/4)-1)*100</f>
        <v/>
      </c>
      <c r="E9" s="16">
        <f>((E8/E4)^(1/4)-1)*100</f>
        <v/>
      </c>
    </row>
    <row r="11">
      <c r="A11" s="17" t="inlineStr">
        <is>
          <t>Hermès 市场份额变化</t>
        </is>
      </c>
    </row>
    <row r="12">
      <c r="A12" s="18" t="inlineStr">
        <is>
          <t>Year</t>
        </is>
      </c>
      <c r="B12" s="18" t="inlineStr">
        <is>
          <t>Hermès Share
of Peer Group (%)</t>
        </is>
      </c>
      <c r="C12" s="18" t="inlineStr">
        <is>
          <t>vs 2021
(pp change)</t>
        </is>
      </c>
    </row>
    <row r="13">
      <c r="A13" s="14" t="n">
        <v>2021</v>
      </c>
      <c r="B13" s="10">
        <f>B4/SUM(B4:E4)*100</f>
        <v/>
      </c>
      <c r="C13" s="10" t="inlineStr">
        <is>
          <t>—</t>
        </is>
      </c>
    </row>
    <row r="14">
      <c r="A14" s="14" t="n">
        <v>2022</v>
      </c>
      <c r="B14" s="10">
        <f>B5/SUM(B5:E5)*100</f>
        <v/>
      </c>
      <c r="C14" s="10">
        <f>B14-B13</f>
        <v/>
      </c>
    </row>
    <row r="15">
      <c r="A15" s="14" t="n">
        <v>2023</v>
      </c>
      <c r="B15" s="10">
        <f>B6/SUM(B6:E6)*100</f>
        <v/>
      </c>
      <c r="C15" s="10">
        <f>B15-B13</f>
        <v/>
      </c>
    </row>
    <row r="16">
      <c r="A16" s="14" t="n">
        <v>2024</v>
      </c>
      <c r="B16" s="10">
        <f>B7/SUM(B7:E7)*100</f>
        <v/>
      </c>
      <c r="C16" s="10">
        <f>B16-B13</f>
        <v/>
      </c>
    </row>
    <row r="17">
      <c r="A17" s="14" t="n">
        <v>2025</v>
      </c>
      <c r="B17" s="10">
        <f>B8/SUM(B8:E8)*100</f>
        <v/>
      </c>
      <c r="C17" s="10">
        <f>B17-B13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营业利润率对标 (FY2025)</t>
        </is>
      </c>
    </row>
    <row r="2">
      <c r="A2" s="2" t="inlineStr">
        <is>
          <t>同业数据为公开财报估算†</t>
        </is>
      </c>
    </row>
    <row r="3">
      <c r="A3" s="4" t="inlineStr">
        <is>
          <t>指标</t>
        </is>
      </c>
      <c r="B3" s="4" t="inlineStr">
        <is>
          <t>Hermès</t>
        </is>
      </c>
      <c r="C3" s="4" t="inlineStr">
        <is>
          <t>LVMH†</t>
        </is>
      </c>
      <c r="D3" s="4" t="inlineStr">
        <is>
          <t>Kering†</t>
        </is>
      </c>
      <c r="E3" s="4" t="inlineStr">
        <is>
          <t>Richemont†</t>
        </is>
      </c>
      <c r="F3" s="4" t="inlineStr">
        <is>
          <t>Hermès 优势
(pp)</t>
        </is>
      </c>
    </row>
    <row r="4">
      <c r="A4" s="5" t="inlineStr">
        <is>
          <t>营业利润率 (%)</t>
        </is>
      </c>
      <c r="B4" s="10" t="n">
        <v>41.1</v>
      </c>
      <c r="C4" s="11" t="n">
        <v>23</v>
      </c>
      <c r="D4" s="11" t="n">
        <v>24.8</v>
      </c>
      <c r="E4" s="11" t="n">
        <v>26.7</v>
      </c>
      <c r="F4" s="10">
        <f>B4-AVERAGE(C4:E4)</f>
        <v/>
      </c>
    </row>
    <row r="5">
      <c r="A5" s="5" t="inlineStr">
        <is>
          <t>净利率 (%)</t>
        </is>
      </c>
      <c r="B5" s="10" t="n">
        <v>28.3</v>
      </c>
      <c r="C5" s="11" t="n">
        <v>16</v>
      </c>
      <c r="D5" s="11" t="n">
        <v>17.4</v>
      </c>
      <c r="E5" s="11" t="n">
        <v>18.4</v>
      </c>
      <c r="F5" s="10">
        <f>B5-AVERAGE(C5:E5)</f>
        <v/>
      </c>
    </row>
    <row r="6">
      <c r="A6" s="5" t="inlineStr">
        <is>
          <t>EBITDA Margin (%)</t>
        </is>
      </c>
      <c r="B6" s="10" t="n">
        <v>45</v>
      </c>
      <c r="C6" s="11" t="n">
        <v>30</v>
      </c>
      <c r="D6" s="11" t="n">
        <v>31.5</v>
      </c>
      <c r="E6" s="11" t="n">
        <v>34</v>
      </c>
      <c r="F6" s="10">
        <f>B6-AVERAGE(C6:E6)</f>
        <v/>
      </c>
    </row>
    <row r="7">
      <c r="A7" s="5" t="inlineStr">
        <is>
          <t>ROE (%)</t>
        </is>
      </c>
      <c r="B7" s="10" t="n">
        <v>35</v>
      </c>
      <c r="C7" s="11" t="n">
        <v>25</v>
      </c>
      <c r="D7" s="11" t="n">
        <v>18</v>
      </c>
      <c r="E7" s="11" t="n">
        <v>22</v>
      </c>
      <c r="F7" s="10">
        <f>B7-AVERAGE(C7:E7)</f>
        <v/>
      </c>
    </row>
    <row r="8">
      <c r="A8" s="5" t="inlineStr">
        <is>
          <t>ROIC (%)</t>
        </is>
      </c>
      <c r="B8" s="10" t="n">
        <v>30</v>
      </c>
      <c r="C8" s="11" t="n">
        <v>15</v>
      </c>
      <c r="D8" s="11" t="n">
        <v>12</v>
      </c>
      <c r="E8" s="11" t="n">
        <v>16</v>
      </c>
      <c r="F8" s="10">
        <f>B8-AVERAGE(C8:E8)</f>
        <v/>
      </c>
    </row>
    <row r="9">
      <c r="A9" s="5" t="inlineStr">
        <is>
          <t>毛利率 (%)</t>
        </is>
      </c>
      <c r="B9" s="10" t="n">
        <v>70</v>
      </c>
      <c r="C9" s="11" t="n">
        <v>68</v>
      </c>
      <c r="D9" s="11" t="n">
        <v>74</v>
      </c>
      <c r="E9" s="11" t="n">
        <v>67</v>
      </c>
      <c r="F9" s="10">
        <f>B9-AVERAGE(C9:E9)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估值倍数对标 (FY2025)</t>
        </is>
      </c>
    </row>
    <row r="2">
      <c r="A2" s="2" t="inlineStr">
        <is>
          <t>估值数据基于2025年末市值; P/E使用2025财年净利†</t>
        </is>
      </c>
    </row>
    <row r="3">
      <c r="A3" s="4" t="inlineStr">
        <is>
          <t>估值指标</t>
        </is>
      </c>
      <c r="B3" s="4" t="inlineStr">
        <is>
          <t>Hermès</t>
        </is>
      </c>
      <c r="C3" s="4" t="inlineStr">
        <is>
          <t>LVMH†</t>
        </is>
      </c>
      <c r="D3" s="4" t="inlineStr">
        <is>
          <t>Kering†</t>
        </is>
      </c>
      <c r="E3" s="4" t="inlineStr">
        <is>
          <t>Richemont†</t>
        </is>
      </c>
      <c r="F3" s="4" t="inlineStr">
        <is>
          <t>溢价/折价
(%)</t>
        </is>
      </c>
    </row>
    <row r="4">
      <c r="A4" s="5" t="inlineStr">
        <is>
          <t>P/E (x)</t>
        </is>
      </c>
      <c r="B4" s="10" t="n">
        <v>57.2</v>
      </c>
      <c r="C4" s="11" t="n">
        <v>25.5</v>
      </c>
      <c r="D4" s="11" t="n">
        <v>9.6</v>
      </c>
      <c r="E4" s="11" t="n">
        <v>22.4</v>
      </c>
      <c r="F4" s="9">
        <f>B4/AVERAGE(C4:E4)-1</f>
        <v/>
      </c>
    </row>
    <row r="5">
      <c r="A5" s="5" t="inlineStr">
        <is>
          <t>EV/EBITDA (x)</t>
        </is>
      </c>
      <c r="B5" s="10" t="n">
        <v>35</v>
      </c>
      <c r="C5" s="11" t="n">
        <v>14</v>
      </c>
      <c r="D5" s="11" t="n">
        <v>8</v>
      </c>
      <c r="E5" s="11" t="n">
        <v>13</v>
      </c>
      <c r="F5" s="9">
        <f>B5/AVERAGE(C5:E5)-1</f>
        <v/>
      </c>
    </row>
    <row r="6">
      <c r="A6" s="5" t="inlineStr">
        <is>
          <t>EV/Revenue (x)</t>
        </is>
      </c>
      <c r="B6" s="10" t="n">
        <v>15.5</v>
      </c>
      <c r="C6" s="11" t="n">
        <v>4.5</v>
      </c>
      <c r="D6" s="11" t="n">
        <v>1.8</v>
      </c>
      <c r="E6" s="11" t="n">
        <v>3.8</v>
      </c>
      <c r="F6" s="9">
        <f>B6/AVERAGE(C6:E6)-1</f>
        <v/>
      </c>
    </row>
    <row r="7">
      <c r="A7" s="5" t="inlineStr">
        <is>
          <t>P/B (x)</t>
        </is>
      </c>
      <c r="B7" s="10" t="n">
        <v>18</v>
      </c>
      <c r="C7" s="11" t="n">
        <v>5.5</v>
      </c>
      <c r="D7" s="11" t="n">
        <v>2</v>
      </c>
      <c r="E7" s="11" t="n">
        <v>4.5</v>
      </c>
      <c r="F7" s="9">
        <f>B7/AVERAGE(C7:E7)-1</f>
        <v/>
      </c>
    </row>
    <row r="8">
      <c r="A8" s="5" t="inlineStr">
        <is>
          <t>FCF Yield (%)</t>
        </is>
      </c>
      <c r="B8" s="10" t="n">
        <v>1.8</v>
      </c>
      <c r="C8" s="11" t="n">
        <v>3.5</v>
      </c>
      <c r="D8" s="11" t="n">
        <v>7</v>
      </c>
      <c r="E8" s="11" t="n">
        <v>4</v>
      </c>
      <c r="F8" s="9">
        <f>B8/AVERAGE(C8:E8)-1</f>
        <v/>
      </c>
    </row>
    <row r="9">
      <c r="A9" s="5" t="inlineStr">
        <is>
          <t>Div Yield (%)</t>
        </is>
      </c>
      <c r="B9" s="10" t="n">
        <v>0.8</v>
      </c>
      <c r="C9" s="11" t="n">
        <v>1.5</v>
      </c>
      <c r="D9" s="11" t="n">
        <v>3.5</v>
      </c>
      <c r="E9" s="11" t="n">
        <v>2</v>
      </c>
      <c r="F9" s="9">
        <f>B9/AVERAGE(C9:E9)-1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9" t="inlineStr">
        <is>
          <t>数据来源与假设说明</t>
        </is>
      </c>
      <c r="B1" s="20" t="inlineStr"/>
    </row>
    <row r="2">
      <c r="A2" s="20" t="inlineStr"/>
      <c r="B2" s="20" t="inlineStr"/>
    </row>
    <row r="3">
      <c r="A3" s="19" t="inlineStr">
        <is>
          <t>Hermès 数据</t>
        </is>
      </c>
      <c r="B3" s="20" t="inlineStr">
        <is>
          <t>全部来自 Hermes_20Year_Panorama_2006_2025.xlsx 原始数据集</t>
        </is>
      </c>
    </row>
    <row r="4">
      <c r="A4" s="20" t="inlineStr"/>
      <c r="B4" s="20" t="inlineStr">
        <is>
          <t>原始数据来源: Hermès Annual Reports 2006-2025, Yahoo Finance (RMS.PA)</t>
        </is>
      </c>
    </row>
    <row r="5">
      <c r="A5" s="20" t="inlineStr"/>
      <c r="B5" s="20" t="inlineStr"/>
    </row>
    <row r="6">
      <c r="A6" s="19" t="inlineStr">
        <is>
          <t>LVMH 数据 (†)</t>
        </is>
      </c>
      <c r="B6" s="20" t="inlineStr">
        <is>
          <t>基于 LVMH FY2025 公开财报估算</t>
        </is>
      </c>
    </row>
    <row r="7">
      <c r="A7" s="19" t="inlineStr">
        <is>
          <t>营收</t>
        </is>
      </c>
      <c r="B7" s="20" t="inlineStr">
        <is>
          <t>~€86.2B (FY2025 estimate, from LVMH FY2025 revenue guidance &amp; consensus)</t>
        </is>
      </c>
    </row>
    <row r="8">
      <c r="A8" s="19" t="inlineStr">
        <is>
          <t>营业利润</t>
        </is>
      </c>
      <c r="B8" s="20" t="inlineStr">
        <is>
          <t>~€19.8B (OP margin ~23.0%)</t>
        </is>
      </c>
    </row>
    <row r="9">
      <c r="A9" s="19" t="inlineStr">
        <is>
          <t>门店数</t>
        </is>
      </c>
      <c r="B9" s="20" t="inlineStr">
        <is>
          <t>6,097 (LVMH 2024 Annual Report, including Sephora, DFS etc.)</t>
        </is>
      </c>
    </row>
    <row r="10">
      <c r="A10" s="19" t="inlineStr">
        <is>
          <t>市值</t>
        </is>
      </c>
      <c r="B10" s="20" t="inlineStr">
        <is>
          <t>~€352B (as of Dec 2025)</t>
        </is>
      </c>
    </row>
    <row r="11">
      <c r="A11" s="20" t="inlineStr"/>
      <c r="B11" s="20" t="inlineStr"/>
    </row>
    <row r="12">
      <c r="A12" s="19" t="inlineStr">
        <is>
          <t>Kering 数据 (†)</t>
        </is>
      </c>
      <c r="B12" s="20" t="inlineStr">
        <is>
          <t>基于 Kering FY2025 公开财报估算</t>
        </is>
      </c>
    </row>
    <row r="13">
      <c r="A13" s="19" t="inlineStr">
        <is>
          <t>营收</t>
        </is>
      </c>
      <c r="B13" s="20" t="inlineStr">
        <is>
          <t>~€17.1B (Gucci ~€7.5B, YSL ~€3.2B, Bottega Veneta ~€1.8B, Other ~€4.6B)</t>
        </is>
      </c>
    </row>
    <row r="14">
      <c r="A14" s="19" t="inlineStr">
        <is>
          <t>营业利润</t>
        </is>
      </c>
      <c r="B14" s="20" t="inlineStr">
        <is>
          <t>~€4.25B (OP margin ~24.8%)</t>
        </is>
      </c>
    </row>
    <row r="15">
      <c r="A15" s="19" t="inlineStr">
        <is>
          <t>门店数</t>
        </is>
      </c>
      <c r="B15" s="20" t="inlineStr">
        <is>
          <t>1,813 (Kering 2024 Annual Report)</t>
        </is>
      </c>
    </row>
    <row r="16">
      <c r="A16" s="19" t="inlineStr">
        <is>
          <t>市值</t>
        </is>
      </c>
      <c r="B16" s="20" t="inlineStr">
        <is>
          <t>~€28.5B (as of Dec 2025)</t>
        </is>
      </c>
    </row>
    <row r="17">
      <c r="A17" s="20" t="inlineStr"/>
      <c r="B17" s="20" t="inlineStr"/>
    </row>
    <row r="18">
      <c r="A18" s="19" t="inlineStr">
        <is>
          <t>Richemont 数据 (†)</t>
        </is>
      </c>
      <c r="B18" s="20" t="inlineStr">
        <is>
          <t>基于 Richemont FY2025 公开财报估算</t>
        </is>
      </c>
    </row>
    <row r="19">
      <c r="A19" s="19" t="inlineStr">
        <is>
          <t>营收</t>
        </is>
      </c>
      <c r="B19" s="20" t="inlineStr">
        <is>
          <t>~€20.6B (Jewelry Maisons ~€14B, Specialist Watchmakers ~€4B, Other ~€2.6B)</t>
        </is>
      </c>
    </row>
    <row r="20">
      <c r="A20" s="19" t="inlineStr">
        <is>
          <t>营业利润</t>
        </is>
      </c>
      <c r="B20" s="20" t="inlineStr">
        <is>
          <t>~€5.5B (OP margin ~26.7%)</t>
        </is>
      </c>
    </row>
    <row r="21">
      <c r="A21" s="19" t="inlineStr">
        <is>
          <t>门店数</t>
        </is>
      </c>
      <c r="B21" s="20" t="inlineStr">
        <is>
          <t>2,639 (Richemont 2024 Annual Report, including franchise)</t>
        </is>
      </c>
    </row>
    <row r="22">
      <c r="A22" s="19" t="inlineStr">
        <is>
          <t>市值</t>
        </is>
      </c>
      <c r="B22" s="20" t="inlineStr">
        <is>
          <t>~€85B (as of Dec 2025)</t>
        </is>
      </c>
    </row>
    <row r="23">
      <c r="A23" s="20" t="inlineStr"/>
      <c r="B23" s="20" t="inlineStr"/>
    </row>
    <row r="24">
      <c r="A24" s="19" t="inlineStr">
        <is>
          <t>重要提示</t>
        </is>
      </c>
      <c r="B24" s="20" t="inlineStr">
        <is>
          <t>以上同业数据为基于公开信息的估算值，非实时API数据。</t>
        </is>
      </c>
    </row>
    <row r="25">
      <c r="A25" s="20" t="inlineStr"/>
      <c r="B25" s="20" t="inlineStr">
        <is>
          <t>实际财务数据请以各公司官方年报及Bloomberg/FactSet终端为准。</t>
        </is>
      </c>
    </row>
    <row r="26">
      <c r="A26" s="20" t="inlineStr"/>
      <c r="B26" s="20" t="inlineStr">
        <is>
          <t>估算日期: 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2026-06-22T07:59:18Z</dcterms:created>
  <dcterms:modified xmlns:dcterms="http://purl.org/dc/terms/" xmlns:xsi="http://www.w3.org/2001/XMLSchema-instance" xsi:type="dcterms:W3CDTF">2026-06-22T07:59:18Z</dcterms:modified>
</cp:coreProperties>
</file>