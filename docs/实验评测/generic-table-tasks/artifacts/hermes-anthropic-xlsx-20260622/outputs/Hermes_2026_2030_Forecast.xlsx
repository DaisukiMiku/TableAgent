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面板" sheetId="1" state="visible" r:id="rId1"/>
    <sheet xmlns:r="http://schemas.openxmlformats.org/officeDocument/2006/relationships" name="利润表预测" sheetId="2" state="visible" r:id="rId2"/>
    <sheet xmlns:r="http://schemas.openxmlformats.org/officeDocument/2006/relationships" name="门店与人力" sheetId="3" state="visible" r:id="rId3"/>
    <sheet xmlns:r="http://schemas.openxmlformats.org/officeDocument/2006/relationships" name="预测总览" sheetId="4" state="visible" r:id="rId4"/>
    <sheet xmlns:r="http://schemas.openxmlformats.org/officeDocument/2006/relationships" name="情景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b val="1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</cols>
  <sheetData>
    <row r="1">
      <c r="A1" s="1" t="inlineStr">
        <is>
          <t>Hermès 2026-2030 财务预测 — 核心假设</t>
        </is>
      </c>
    </row>
    <row r="2">
      <c r="A2" s="2" t="inlineStr">
        <is>
          <t>蓝色字体=可调整假设输入; 黄色底色=关键假设需关注</t>
        </is>
      </c>
    </row>
    <row r="3">
      <c r="A3" s="3" t="inlineStr">
        <is>
          <t>假设项目</t>
        </is>
      </c>
      <c r="B3" s="3" t="inlineStr">
        <is>
          <t>数值</t>
        </is>
      </c>
      <c r="C3" s="3" t="inlineStr">
        <is>
          <t>说明/来源</t>
        </is>
      </c>
    </row>
    <row r="4">
      <c r="A4" s="4">
        <f>==== 营收增长假设 =====</f>
        <v/>
      </c>
    </row>
    <row r="5">
      <c r="A5" s="5" t="inlineStr">
        <is>
          <t>2026年营收增速 (%)</t>
        </is>
      </c>
      <c r="B5" s="6" t="n">
        <v>5.5</v>
      </c>
      <c r="C5" s="7" t="inlineStr">
        <is>
          <t>基于2025年+5.5%趋势; 历史20Y CAGR=13.2%, 近期减速</t>
        </is>
      </c>
    </row>
    <row r="6">
      <c r="A6" s="5" t="inlineStr">
        <is>
          <t>2027年营收增速 (%)</t>
        </is>
      </c>
      <c r="B6" s="6" t="n">
        <v>5</v>
      </c>
      <c r="C6" s="7" t="inlineStr">
        <is>
          <t>假设增速逐步正常化</t>
        </is>
      </c>
    </row>
    <row r="7">
      <c r="A7" s="5" t="inlineStr">
        <is>
          <t>2028年营收增速 (%)</t>
        </is>
      </c>
      <c r="B7" s="6" t="n">
        <v>4.8</v>
      </c>
      <c r="C7" s="7" t="inlineStr">
        <is>
          <t>成熟市场增速放缓</t>
        </is>
      </c>
    </row>
    <row r="8">
      <c r="A8" s="5" t="inlineStr">
        <is>
          <t>2029年营收增速 (%)</t>
        </is>
      </c>
      <c r="B8" s="6" t="n">
        <v>4.5</v>
      </c>
      <c r="C8" s="7" t="inlineStr">
        <is>
          <t>品牌延展与提价支撑</t>
        </is>
      </c>
    </row>
    <row r="9">
      <c r="A9" s="5" t="inlineStr">
        <is>
          <t>2030年营收增速 (%)</t>
        </is>
      </c>
      <c r="B9" s="6" t="n">
        <v>4.2</v>
      </c>
      <c r="C9" s="7" t="inlineStr">
        <is>
          <t>稳态增长假设</t>
        </is>
      </c>
    </row>
    <row r="11">
      <c r="A11" s="4">
        <f>==== 成本结构假设 =====</f>
        <v/>
      </c>
    </row>
    <row r="12">
      <c r="A12" s="5" t="inlineStr">
        <is>
          <t>毛利率 (%)</t>
        </is>
      </c>
      <c r="B12" s="6" t="n">
        <v>70</v>
      </c>
      <c r="C12" s="7" t="inlineStr">
        <is>
          <t>历史稳定在~70% (皮革手工成本刚性)</t>
        </is>
      </c>
    </row>
    <row r="13">
      <c r="A13" s="5" t="inlineStr">
        <is>
          <t>SG&amp;A 占营收比 (%)</t>
        </is>
      </c>
      <c r="B13" s="6" t="n">
        <v>29</v>
      </c>
      <c r="C13" s="7" t="inlineStr">
        <is>
          <t>2025年约29.0%; 假设规模效应持平</t>
        </is>
      </c>
    </row>
    <row r="14">
      <c r="A14" s="8" t="inlineStr">
        <is>
          <t>D&amp;A 占营收比 (%)</t>
        </is>
      </c>
      <c r="B14" s="9" t="n">
        <v>5</v>
      </c>
      <c r="C14" s="10" t="inlineStr">
        <is>
          <t>折旧摊销占营收比 (店铺+工坊投资)</t>
        </is>
      </c>
    </row>
    <row r="15">
      <c r="A15" s="5" t="inlineStr">
        <is>
          <t>有效税率 (%)</t>
        </is>
      </c>
      <c r="B15" s="6" t="n">
        <v>27</v>
      </c>
      <c r="C15" s="7" t="inlineStr">
        <is>
          <t>法国企业所得税率+全球混合税率</t>
        </is>
      </c>
    </row>
    <row r="17">
      <c r="A17" s="4">
        <f>==== 门店扩张假设 =====</f>
        <v/>
      </c>
    </row>
    <row r="18">
      <c r="A18" s="5" t="inlineStr">
        <is>
          <t>2026年净增门店数</t>
        </is>
      </c>
      <c r="B18" s="11" t="n">
        <v>5</v>
      </c>
      <c r="C18" s="7" t="inlineStr">
        <is>
          <t>每年净增5-8家 (谨慎扩张策略)</t>
        </is>
      </c>
    </row>
    <row r="19">
      <c r="A19" s="8" t="inlineStr">
        <is>
          <t>2027年净增门店数</t>
        </is>
      </c>
      <c r="B19" s="12" t="n">
        <v>5</v>
      </c>
      <c r="C19" s="10" t="inlineStr"/>
    </row>
    <row r="20">
      <c r="A20" s="8" t="inlineStr">
        <is>
          <t>2028年净增门店数</t>
        </is>
      </c>
      <c r="B20" s="12" t="n">
        <v>6</v>
      </c>
      <c r="C20" s="10" t="inlineStr"/>
    </row>
    <row r="21">
      <c r="A21" s="8" t="inlineStr">
        <is>
          <t>2029年净增门店数</t>
        </is>
      </c>
      <c r="B21" s="12" t="n">
        <v>6</v>
      </c>
      <c r="C21" s="10" t="inlineStr"/>
    </row>
    <row r="22">
      <c r="A22" s="8" t="inlineStr">
        <is>
          <t>2030年净增门店数</t>
        </is>
      </c>
      <c r="B22" s="12" t="n">
        <v>8</v>
      </c>
      <c r="C22" s="10" t="inlineStr">
        <is>
          <t>加速亚太布局</t>
        </is>
      </c>
    </row>
    <row r="24">
      <c r="A24" s="4">
        <f>==== 员工增长假设 =====</f>
        <v/>
      </c>
    </row>
    <row r="25">
      <c r="A25" s="5" t="inlineStr">
        <is>
          <t>员工年增速 (%)</t>
        </is>
      </c>
      <c r="B25" s="6" t="n">
        <v>5</v>
      </c>
      <c r="C25" s="7" t="inlineStr">
        <is>
          <t>历史5Y CAGR ~7.7%; 假设减缓</t>
        </is>
      </c>
    </row>
    <row r="27">
      <c r="A27" s="4">
        <f>==== 宏观假设 =====</f>
        <v/>
      </c>
    </row>
    <row r="28">
      <c r="A28" s="8" t="inlineStr">
        <is>
          <t>EUR/USD 汇率</t>
        </is>
      </c>
      <c r="B28" s="9" t="n">
        <v>1.08</v>
      </c>
      <c r="C28" s="10" t="inlineStr">
        <is>
          <t>2025年末汇率; 假设稳定</t>
        </is>
      </c>
    </row>
    <row r="29">
      <c r="A29" s="8" t="inlineStr">
        <is>
          <t>全球奢侈品市场增速 (%)</t>
        </is>
      </c>
      <c r="B29" s="9" t="n">
        <v>4</v>
      </c>
      <c r="C29" s="10" t="inlineStr">
        <is>
          <t>Bain &amp; Company 行业预测中值</t>
        </is>
      </c>
    </row>
  </sheetData>
  <mergeCells count="7">
    <mergeCell ref="A11:C11"/>
    <mergeCell ref="A1:C1"/>
    <mergeCell ref="A17:C17"/>
    <mergeCell ref="A27:C27"/>
    <mergeCell ref="A4:C4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Hermès 利润表预测 (2026-2030)</t>
        </is>
      </c>
    </row>
    <row r="2">
      <c r="A2" s="2" t="inlineStr">
        <is>
          <t>单位: EUR million; 蓝色=硬编码输入; 公式自动计算</t>
        </is>
      </c>
    </row>
    <row r="3">
      <c r="A3" s="3" t="inlineStr">
        <is>
          <t>(EUR million)</t>
        </is>
      </c>
      <c r="B3" s="3" t="inlineStr">
        <is>
          <t>2025A
实际</t>
        </is>
      </c>
      <c r="C3" s="3" t="inlineStr">
        <is>
          <t>2026E</t>
        </is>
      </c>
      <c r="D3" s="3" t="inlineStr">
        <is>
          <t>2027E</t>
        </is>
      </c>
      <c r="E3" s="3" t="inlineStr">
        <is>
          <t>2028E</t>
        </is>
      </c>
      <c r="F3" s="3" t="inlineStr">
        <is>
          <t>2029E</t>
        </is>
      </c>
      <c r="G3" s="3" t="inlineStr">
        <is>
          <t>2030E</t>
        </is>
      </c>
    </row>
    <row r="4">
      <c r="A4" s="13" t="inlineStr">
        <is>
          <t>Revenue</t>
        </is>
      </c>
      <c r="B4" s="14" t="n">
        <v>16002</v>
      </c>
      <c r="C4" s="15">
        <f>B4*(1+假设面板!B5/100)</f>
        <v/>
      </c>
      <c r="D4" s="15">
        <f>C4*(1+假设面板!B6/100)</f>
        <v/>
      </c>
      <c r="E4" s="15">
        <f>D4*(1+假设面板!B7/100)</f>
        <v/>
      </c>
      <c r="F4" s="15">
        <f>E4*(1+假设面板!B8/100)</f>
        <v/>
      </c>
      <c r="G4" s="15">
        <f>F4*(1+假设面板!B9/100)</f>
        <v/>
      </c>
    </row>
    <row r="5">
      <c r="A5" s="8" t="inlineStr">
        <is>
          <t xml:space="preserve">  YoY Growth (%)</t>
        </is>
      </c>
      <c r="C5" s="16">
        <f>(C4/B4-1)*100</f>
        <v/>
      </c>
      <c r="D5" s="16">
        <f>(D4/C4-1)*100</f>
        <v/>
      </c>
      <c r="E5" s="16">
        <f>(E4/D4-1)*100</f>
        <v/>
      </c>
      <c r="F5" s="16">
        <f>(F4/E4-1)*100</f>
        <v/>
      </c>
      <c r="G5" s="16">
        <f>(G4/F4-1)*100</f>
        <v/>
      </c>
    </row>
    <row r="6">
      <c r="A6" s="13" t="inlineStr">
        <is>
          <t>COGS</t>
        </is>
      </c>
      <c r="B6" s="14" t="n">
        <v>4801</v>
      </c>
      <c r="C6" s="15">
        <f>C4*(1-假设面板!B12/100)</f>
        <v/>
      </c>
      <c r="D6" s="15">
        <f>D4*(1-假设面板!B12/100)</f>
        <v/>
      </c>
      <c r="E6" s="15">
        <f>E4*(1-假设面板!B12/100)</f>
        <v/>
      </c>
      <c r="F6" s="15">
        <f>F4*(1-假设面板!B12/100)</f>
        <v/>
      </c>
      <c r="G6" s="15">
        <f>G4*(1-假设面板!B12/100)</f>
        <v/>
      </c>
    </row>
    <row r="7">
      <c r="A7" s="13" t="inlineStr">
        <is>
          <t>Gross Profit</t>
        </is>
      </c>
      <c r="B7" s="15">
        <f>B4-B6</f>
        <v/>
      </c>
      <c r="C7" s="15">
        <f>C4-C6</f>
        <v/>
      </c>
      <c r="D7" s="15">
        <f>D4-D6</f>
        <v/>
      </c>
      <c r="E7" s="15">
        <f>E4-E6</f>
        <v/>
      </c>
      <c r="F7" s="15">
        <f>F4-F6</f>
        <v/>
      </c>
      <c r="G7" s="15">
        <f>G4-G6</f>
        <v/>
      </c>
    </row>
    <row r="8">
      <c r="A8" s="8" t="inlineStr">
        <is>
          <t xml:space="preserve">  Gross Margin (%)</t>
        </is>
      </c>
      <c r="B8" s="16">
        <f>B7/B4*100</f>
        <v/>
      </c>
      <c r="C8" s="16">
        <f>C7/C4*100</f>
        <v/>
      </c>
      <c r="D8" s="16">
        <f>D7/D4*100</f>
        <v/>
      </c>
      <c r="E8" s="16">
        <f>E7/E4*100</f>
        <v/>
      </c>
      <c r="F8" s="16">
        <f>F7/F4*100</f>
        <v/>
      </c>
      <c r="G8" s="16">
        <f>G7/G4*100</f>
        <v/>
      </c>
    </row>
    <row r="9">
      <c r="A9" s="13" t="inlineStr">
        <is>
          <t>SG&amp;A</t>
        </is>
      </c>
      <c r="B9" s="14" t="n">
        <v>4641</v>
      </c>
      <c r="C9" s="15">
        <f>C4*假设面板!B13/100</f>
        <v/>
      </c>
      <c r="D9" s="15">
        <f>D4*假设面板!B13/100</f>
        <v/>
      </c>
      <c r="E9" s="15">
        <f>E4*假设面板!B13/100</f>
        <v/>
      </c>
      <c r="F9" s="15">
        <f>F4*假设面板!B13/100</f>
        <v/>
      </c>
      <c r="G9" s="15">
        <f>G4*假设面板!B13/100</f>
        <v/>
      </c>
    </row>
    <row r="10">
      <c r="A10" s="13" t="inlineStr">
        <is>
          <t>D&amp;A</t>
        </is>
      </c>
      <c r="B10" s="14" t="n">
        <v>800</v>
      </c>
      <c r="C10" s="15">
        <f>C4*假设面板!B14/100</f>
        <v/>
      </c>
      <c r="D10" s="15">
        <f>D4*假设面板!B14/100</f>
        <v/>
      </c>
      <c r="E10" s="15">
        <f>E4*假设面板!B14/100</f>
        <v/>
      </c>
      <c r="F10" s="15">
        <f>F4*假设面板!B14/100</f>
        <v/>
      </c>
      <c r="G10" s="15">
        <f>G4*假设面板!B14/100</f>
        <v/>
      </c>
    </row>
    <row r="11">
      <c r="A11" s="13" t="inlineStr">
        <is>
          <t>Operating Income (EBIT)</t>
        </is>
      </c>
      <c r="B11" s="15">
        <f>B7-B9-B10</f>
        <v/>
      </c>
      <c r="C11" s="15">
        <f>C7-C9-C10</f>
        <v/>
      </c>
      <c r="D11" s="15">
        <f>D7-D9-D10</f>
        <v/>
      </c>
      <c r="E11" s="15">
        <f>E7-E9-E10</f>
        <v/>
      </c>
      <c r="F11" s="15">
        <f>F7-F9-F10</f>
        <v/>
      </c>
      <c r="G11" s="15">
        <f>G7-G9-G10</f>
        <v/>
      </c>
    </row>
    <row r="12">
      <c r="A12" s="8" t="inlineStr">
        <is>
          <t xml:space="preserve">  Operating Margin (%)</t>
        </is>
      </c>
      <c r="B12" s="16">
        <f>B11/B4*100</f>
        <v/>
      </c>
      <c r="C12" s="16">
        <f>C11/C4*100</f>
        <v/>
      </c>
      <c r="D12" s="16">
        <f>D11/D4*100</f>
        <v/>
      </c>
      <c r="E12" s="16">
        <f>E11/E4*100</f>
        <v/>
      </c>
      <c r="F12" s="16">
        <f>F11/F4*100</f>
        <v/>
      </c>
      <c r="G12" s="16">
        <f>G11/G4*100</f>
        <v/>
      </c>
    </row>
    <row r="13">
      <c r="A13" s="13" t="inlineStr">
        <is>
          <t>Interest &amp; Other</t>
        </is>
      </c>
      <c r="B13" s="14" t="n">
        <v>100</v>
      </c>
      <c r="C13" s="14" t="n">
        <v>100</v>
      </c>
      <c r="D13" s="14" t="n">
        <v>100</v>
      </c>
      <c r="E13" s="14" t="n">
        <v>100</v>
      </c>
      <c r="F13" s="14" t="n">
        <v>100</v>
      </c>
      <c r="G13" s="14" t="n">
        <v>100</v>
      </c>
    </row>
    <row r="14">
      <c r="A14" s="13" t="inlineStr">
        <is>
          <t>Pre-Tax Income</t>
        </is>
      </c>
      <c r="B14" s="15">
        <f>B11+B13</f>
        <v/>
      </c>
      <c r="C14" s="15">
        <f>C11+C13</f>
        <v/>
      </c>
      <c r="D14" s="15">
        <f>D11+D13</f>
        <v/>
      </c>
      <c r="E14" s="15">
        <f>E11+E13</f>
        <v/>
      </c>
      <c r="F14" s="15">
        <f>F11+F13</f>
        <v/>
      </c>
      <c r="G14" s="15">
        <f>G11+G13</f>
        <v/>
      </c>
    </row>
    <row r="15">
      <c r="A15" s="13" t="inlineStr">
        <is>
          <t>Income Tax</t>
        </is>
      </c>
      <c r="B15" s="15">
        <f>B14*0.27</f>
        <v/>
      </c>
      <c r="C15" s="15">
        <f>C14*假设面板!B15/100</f>
        <v/>
      </c>
      <c r="D15" s="15">
        <f>D14*假设面板!B15/100</f>
        <v/>
      </c>
      <c r="E15" s="15">
        <f>E14*假设面板!B15/100</f>
        <v/>
      </c>
      <c r="F15" s="15">
        <f>F14*假设面板!B15/100</f>
        <v/>
      </c>
      <c r="G15" s="15">
        <f>G14*假设面板!B15/100</f>
        <v/>
      </c>
    </row>
    <row r="16">
      <c r="A16" s="13" t="inlineStr">
        <is>
          <t>Net Income</t>
        </is>
      </c>
      <c r="B16" s="15">
        <f>B14-B15</f>
        <v/>
      </c>
      <c r="C16" s="15">
        <f>C14-C15</f>
        <v/>
      </c>
      <c r="D16" s="15">
        <f>D14-D15</f>
        <v/>
      </c>
      <c r="E16" s="15">
        <f>E14-E15</f>
        <v/>
      </c>
      <c r="F16" s="15">
        <f>F14-F15</f>
        <v/>
      </c>
      <c r="G16" s="15">
        <f>G14-G15</f>
        <v/>
      </c>
    </row>
    <row r="17">
      <c r="A17" s="8" t="inlineStr">
        <is>
          <t xml:space="preserve">  Net Margin (%)</t>
        </is>
      </c>
      <c r="B17" s="16">
        <f>B16/B4*100</f>
        <v/>
      </c>
      <c r="C17" s="16">
        <f>C16/C4*100</f>
        <v/>
      </c>
      <c r="D17" s="16">
        <f>D16/D4*100</f>
        <v/>
      </c>
      <c r="E17" s="16">
        <f>E16/E4*100</f>
        <v/>
      </c>
      <c r="F17" s="16">
        <f>F16/F4*100</f>
        <v/>
      </c>
      <c r="G17" s="16">
        <f>G16/G4*100</f>
        <v/>
      </c>
    </row>
    <row r="18">
      <c r="A18" s="13" t="inlineStr">
        <is>
          <t>EPS (EUR)</t>
        </is>
      </c>
      <c r="B18" s="17">
        <f>B16/B19</f>
        <v/>
      </c>
      <c r="C18" s="17">
        <f>C16/C19</f>
        <v/>
      </c>
      <c r="D18" s="17">
        <f>D16/D19</f>
        <v/>
      </c>
      <c r="E18" s="17">
        <f>E16/E19</f>
        <v/>
      </c>
      <c r="F18" s="17">
        <f>F16/F19</f>
        <v/>
      </c>
      <c r="G18" s="17">
        <f>G16/G19</f>
        <v/>
      </c>
    </row>
    <row r="19">
      <c r="A19" s="13" t="inlineStr">
        <is>
          <t>Shares Outstanding (m)</t>
        </is>
      </c>
      <c r="B19" s="9" t="n">
        <v>83.5</v>
      </c>
      <c r="C19" s="9" t="n">
        <v>83.5</v>
      </c>
      <c r="D19" s="9" t="n">
        <v>83.5</v>
      </c>
      <c r="E19" s="9" t="n">
        <v>83.5</v>
      </c>
      <c r="F19" s="9" t="n">
        <v>83.5</v>
      </c>
      <c r="G19" s="9" t="n">
        <v>83.5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Hermès 门店网络与人力预测 (2026-2030)</t>
        </is>
      </c>
    </row>
    <row r="2">
      <c r="A2" s="3" t="inlineStr"/>
      <c r="B2" s="3" t="inlineStr">
        <is>
          <t>2025A</t>
        </is>
      </c>
      <c r="C2" s="3" t="inlineStr">
        <is>
          <t>2026E</t>
        </is>
      </c>
      <c r="D2" s="3" t="inlineStr">
        <is>
          <t>2027E</t>
        </is>
      </c>
      <c r="E2" s="3" t="inlineStr">
        <is>
          <t>2028E</t>
        </is>
      </c>
      <c r="F2" s="3" t="inlineStr">
        <is>
          <t>2029E</t>
        </is>
      </c>
      <c r="G2" s="3" t="inlineStr">
        <is>
          <t>2030E</t>
        </is>
      </c>
    </row>
    <row r="3">
      <c r="A3" s="13" t="inlineStr">
        <is>
          <t>门店数 Stores</t>
        </is>
      </c>
      <c r="B3" s="18" t="n">
        <v>294</v>
      </c>
      <c r="C3" s="19">
        <f>B3+C4</f>
        <v/>
      </c>
      <c r="D3" s="19">
        <f>C3+D4</f>
        <v/>
      </c>
      <c r="E3" s="19">
        <f>D3+E4</f>
        <v/>
      </c>
      <c r="F3" s="19">
        <f>E3+F4</f>
        <v/>
      </c>
      <c r="G3" s="19">
        <f>F3+G4</f>
        <v/>
      </c>
    </row>
    <row r="4">
      <c r="A4" s="8" t="inlineStr">
        <is>
          <t xml:space="preserve">  净增 Net Adds</t>
        </is>
      </c>
      <c r="C4" s="18">
        <f>假设面板!B17</f>
        <v/>
      </c>
      <c r="D4" s="18">
        <f>假设面板!B18</f>
        <v/>
      </c>
      <c r="E4" s="18">
        <f>假设面板!B19</f>
        <v/>
      </c>
      <c r="F4" s="18">
        <f>假设面板!B20</f>
        <v/>
      </c>
      <c r="G4" s="18">
        <f>假设面板!B21</f>
        <v/>
      </c>
    </row>
    <row r="5">
      <c r="A5" s="8" t="inlineStr">
        <is>
          <t xml:space="preserve">  门店增速 (%)</t>
        </is>
      </c>
      <c r="C5" s="16">
        <f>(C3/B3-1)*100</f>
        <v/>
      </c>
      <c r="D5" s="16">
        <f>(D3/C3-1)*100</f>
        <v/>
      </c>
      <c r="E5" s="16">
        <f>(E3/D3-1)*100</f>
        <v/>
      </c>
      <c r="F5" s="16">
        <f>(F3/E3-1)*100</f>
        <v/>
      </c>
      <c r="G5" s="16">
        <f>(G3/F3-1)*100</f>
        <v/>
      </c>
    </row>
    <row r="6">
      <c r="A6" s="13" t="inlineStr">
        <is>
          <t>单店营收 Rev/Store (EUR m)</t>
        </is>
      </c>
      <c r="B6" s="20" t="n">
        <v>54.4</v>
      </c>
      <c r="C6" s="21">
        <f>利润表预测!C4/C3</f>
        <v/>
      </c>
      <c r="D6" s="21">
        <f>利润表预测!D4/D3</f>
        <v/>
      </c>
      <c r="E6" s="21">
        <f>利润表预测!E4/E3</f>
        <v/>
      </c>
      <c r="F6" s="21">
        <f>利润表预测!F4/F3</f>
        <v/>
      </c>
      <c r="G6" s="21">
        <f>利润表预测!G4/G3</f>
        <v/>
      </c>
    </row>
    <row r="8">
      <c r="A8" s="13" t="inlineStr">
        <is>
          <t>员工数 Employees</t>
        </is>
      </c>
      <c r="B8" s="14" t="n">
        <v>26494</v>
      </c>
      <c r="C8" s="15">
        <f>B8*(1+假设面板!B23/100)</f>
        <v/>
      </c>
      <c r="D8" s="15">
        <f>C8*(1+假设面板!B23/100)</f>
        <v/>
      </c>
      <c r="E8" s="15">
        <f>D8*(1+假设面板!B23/100)</f>
        <v/>
      </c>
      <c r="F8" s="15">
        <f>E8*(1+假设面板!B23/100)</f>
        <v/>
      </c>
      <c r="G8" s="15">
        <f>F8*(1+假设面板!B23/100)</f>
        <v/>
      </c>
    </row>
    <row r="9">
      <c r="A9" s="8" t="inlineStr">
        <is>
          <t xml:space="preserve">  净增 Net Adds</t>
        </is>
      </c>
      <c r="C9" s="15">
        <f>C8-B8</f>
        <v/>
      </c>
      <c r="D9" s="15">
        <f>D8-C8</f>
        <v/>
      </c>
      <c r="E9" s="15">
        <f>E8-D8</f>
        <v/>
      </c>
      <c r="F9" s="15">
        <f>F8-E8</f>
        <v/>
      </c>
      <c r="G9" s="15">
        <f>G8-F8</f>
        <v/>
      </c>
    </row>
    <row r="10">
      <c r="A10" s="8" t="inlineStr">
        <is>
          <t xml:space="preserve">  员工增速 (%)</t>
        </is>
      </c>
      <c r="C10" s="16">
        <f>(C8/B8-1)*100</f>
        <v/>
      </c>
      <c r="D10" s="16">
        <f>(D8/C8-1)*100</f>
        <v/>
      </c>
      <c r="E10" s="16">
        <f>(E8/D8-1)*100</f>
        <v/>
      </c>
      <c r="F10" s="16">
        <f>(F8/E8-1)*100</f>
        <v/>
      </c>
      <c r="G10" s="16">
        <f>(G8/F8-1)*100</f>
        <v/>
      </c>
    </row>
    <row r="11">
      <c r="A11" s="13" t="inlineStr">
        <is>
          <t>人均营收 Rev/Emp (kEUR)</t>
        </is>
      </c>
      <c r="B11" s="20" t="n">
        <v>604</v>
      </c>
      <c r="C11" s="21">
        <f>利润表预测!C4*1000/C8</f>
        <v/>
      </c>
      <c r="D11" s="21">
        <f>利润表预测!D4*1000/D8</f>
        <v/>
      </c>
      <c r="E11" s="21">
        <f>利润表预测!E4*1000/E8</f>
        <v/>
      </c>
      <c r="F11" s="21">
        <f>利润表预测!F4*1000/F8</f>
        <v/>
      </c>
      <c r="G11" s="21">
        <f>利润表预测!G4*1000/G8</f>
        <v/>
      </c>
    </row>
    <row r="13">
      <c r="A13" s="13" t="inlineStr">
        <is>
          <t>工坊数 Ateliers</t>
        </is>
      </c>
      <c r="B13" s="18" t="n">
        <v>22</v>
      </c>
      <c r="C13" s="18">
        <f>IF(B13="","",B13+1)</f>
        <v/>
      </c>
      <c r="D13" s="18">
        <f>IF(C13="","",C13+1)</f>
        <v/>
      </c>
      <c r="E13" s="18">
        <f>IF(D13="","",D13+1)</f>
        <v/>
      </c>
      <c r="F13" s="18">
        <f>IF(E13="","",E13+1)</f>
        <v/>
      </c>
      <c r="G13" s="18">
        <f>IF(F13="","",F13+1)</f>
        <v/>
      </c>
    </row>
    <row r="14">
      <c r="A14" s="13" t="inlineStr">
        <is>
          <t>产能指数 (2025=100)</t>
        </is>
      </c>
      <c r="C14" s="16">
        <f>C13/22*100</f>
        <v/>
      </c>
      <c r="D14" s="16">
        <f>D13/22*100</f>
        <v/>
      </c>
      <c r="E14" s="16">
        <f>E13/22*100</f>
        <v/>
      </c>
      <c r="F14" s="16">
        <f>F13/22*100</f>
        <v/>
      </c>
      <c r="G14" s="16">
        <f>G13/22*100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Hermès 2026-2030 预测总览</t>
        </is>
      </c>
    </row>
    <row r="2">
      <c r="A2" s="3" t="inlineStr">
        <is>
          <t>Key Metrics</t>
        </is>
      </c>
      <c r="B2" s="3" t="inlineStr">
        <is>
          <t>2025A</t>
        </is>
      </c>
      <c r="C2" s="3" t="inlineStr">
        <is>
          <t>2026E</t>
        </is>
      </c>
      <c r="D2" s="3" t="inlineStr">
        <is>
          <t>2027E</t>
        </is>
      </c>
      <c r="E2" s="3" t="inlineStr">
        <is>
          <t>2028E</t>
        </is>
      </c>
      <c r="F2" s="3" t="inlineStr">
        <is>
          <t>2029E</t>
        </is>
      </c>
      <c r="G2" s="3" t="inlineStr">
        <is>
          <t>2030E</t>
        </is>
      </c>
    </row>
    <row r="3">
      <c r="A3" s="13" t="inlineStr">
        <is>
          <t>营收 Revenue (EUR m)</t>
        </is>
      </c>
      <c r="B3" s="15">
        <f>利润表预测!B4</f>
        <v/>
      </c>
      <c r="C3" s="15">
        <f>利润表预测!C4</f>
        <v/>
      </c>
      <c r="D3" s="15">
        <f>利润表预测!D4</f>
        <v/>
      </c>
      <c r="E3" s="15">
        <f>利润表预测!E4</f>
        <v/>
      </c>
      <c r="F3" s="15">
        <f>利润表预测!F4</f>
        <v/>
      </c>
      <c r="G3" s="15">
        <f>利润表预测!G4</f>
        <v/>
      </c>
    </row>
    <row r="4">
      <c r="A4" s="13" t="inlineStr">
        <is>
          <t>营收增速 Rev Growth (%)</t>
        </is>
      </c>
      <c r="B4" s="22" t="inlineStr">
        <is>
          <t>—</t>
        </is>
      </c>
      <c r="C4" s="16">
        <f>利润表预测!C5</f>
        <v/>
      </c>
      <c r="D4" s="16">
        <f>利润表预测!D5</f>
        <v/>
      </c>
      <c r="E4" s="16">
        <f>利润表预测!E5</f>
        <v/>
      </c>
      <c r="F4" s="16">
        <f>利润表预测!F5</f>
        <v/>
      </c>
      <c r="G4" s="16">
        <f>利润表预测!G5</f>
        <v/>
      </c>
    </row>
    <row r="5">
      <c r="A5" s="13" t="inlineStr">
        <is>
          <t>营业利润 EBIT (EUR m)</t>
        </is>
      </c>
      <c r="B5" s="15">
        <f>利润表预测!B11</f>
        <v/>
      </c>
      <c r="C5" s="15">
        <f>利润表预测!C11</f>
        <v/>
      </c>
      <c r="D5" s="15">
        <f>利润表预测!D11</f>
        <v/>
      </c>
      <c r="E5" s="15">
        <f>利润表预测!E11</f>
        <v/>
      </c>
      <c r="F5" s="15">
        <f>利润表预测!F11</f>
        <v/>
      </c>
      <c r="G5" s="15">
        <f>利润表预测!G11</f>
        <v/>
      </c>
    </row>
    <row r="6">
      <c r="A6" s="13" t="inlineStr">
        <is>
          <t>营业利润率 Op. Margin (%)</t>
        </is>
      </c>
      <c r="B6" s="16">
        <f>利润表预测!B12</f>
        <v/>
      </c>
      <c r="C6" s="16">
        <f>利润表预测!C12</f>
        <v/>
      </c>
      <c r="D6" s="16">
        <f>利润表预测!D12</f>
        <v/>
      </c>
      <c r="E6" s="16">
        <f>利润表预测!E12</f>
        <v/>
      </c>
      <c r="F6" s="16">
        <f>利润表预测!F12</f>
        <v/>
      </c>
      <c r="G6" s="16">
        <f>利润表预测!G12</f>
        <v/>
      </c>
    </row>
    <row r="7">
      <c r="A7" s="13" t="inlineStr">
        <is>
          <t>净利润 Net Income (EUR m)</t>
        </is>
      </c>
      <c r="B7" s="15">
        <f>利润表预测!B16</f>
        <v/>
      </c>
      <c r="C7" s="15">
        <f>利润表预测!C16</f>
        <v/>
      </c>
      <c r="D7" s="15">
        <f>利润表预测!D16</f>
        <v/>
      </c>
      <c r="E7" s="15">
        <f>利润表预测!E16</f>
        <v/>
      </c>
      <c r="F7" s="15">
        <f>利润表预测!F16</f>
        <v/>
      </c>
      <c r="G7" s="15">
        <f>利润表预测!G16</f>
        <v/>
      </c>
    </row>
    <row r="8">
      <c r="A8" s="13" t="inlineStr">
        <is>
          <t>净利率 Net Margin (%)</t>
        </is>
      </c>
      <c r="B8" s="16">
        <f>利润表预测!B17</f>
        <v/>
      </c>
      <c r="C8" s="16">
        <f>利润表预测!C17</f>
        <v/>
      </c>
      <c r="D8" s="16">
        <f>利润表预测!D17</f>
        <v/>
      </c>
      <c r="E8" s="16">
        <f>利润表预测!E17</f>
        <v/>
      </c>
      <c r="F8" s="16">
        <f>利润表预测!F17</f>
        <v/>
      </c>
      <c r="G8" s="16">
        <f>利润表预测!G17</f>
        <v/>
      </c>
    </row>
    <row r="9">
      <c r="A9" s="13" t="inlineStr">
        <is>
          <t>EPS (EUR)</t>
        </is>
      </c>
      <c r="B9" s="17">
        <f>利润表预测!B18</f>
        <v/>
      </c>
      <c r="C9" s="17">
        <f>利润表预测!C18</f>
        <v/>
      </c>
      <c r="D9" s="17">
        <f>利润表预测!D18</f>
        <v/>
      </c>
      <c r="E9" s="17">
        <f>利润表预测!E18</f>
        <v/>
      </c>
      <c r="F9" s="17">
        <f>利润表预测!F18</f>
        <v/>
      </c>
      <c r="G9" s="17">
        <f>利润表预测!G18</f>
        <v/>
      </c>
    </row>
    <row r="10">
      <c r="A10" s="13" t="inlineStr">
        <is>
          <t>门店数 Stores</t>
        </is>
      </c>
      <c r="B10" s="19">
        <f>门店与人力!B3</f>
        <v/>
      </c>
      <c r="C10" s="19">
        <f>门店与人力!C3</f>
        <v/>
      </c>
      <c r="D10" s="19">
        <f>门店与人力!D3</f>
        <v/>
      </c>
      <c r="E10" s="19">
        <f>门店与人力!E3</f>
        <v/>
      </c>
      <c r="F10" s="19">
        <f>门店与人力!F3</f>
        <v/>
      </c>
      <c r="G10" s="19">
        <f>门店与人力!G3</f>
        <v/>
      </c>
    </row>
    <row r="11">
      <c r="A11" s="13" t="inlineStr">
        <is>
          <t>员工数 Employees</t>
        </is>
      </c>
      <c r="B11" s="15">
        <f>门店与人力!B8</f>
        <v/>
      </c>
      <c r="C11" s="15">
        <f>门店与人力!C8</f>
        <v/>
      </c>
      <c r="D11" s="15">
        <f>门店与人力!D8</f>
        <v/>
      </c>
      <c r="E11" s="15">
        <f>门店与人力!E8</f>
        <v/>
      </c>
      <c r="F11" s="15">
        <f>门店与人力!F8</f>
        <v/>
      </c>
      <c r="G11" s="15">
        <f>门店与人力!G8</f>
        <v/>
      </c>
    </row>
    <row r="12">
      <c r="A12" s="13" t="inlineStr">
        <is>
          <t>单店营收 Rev/Store (EUR m)</t>
        </is>
      </c>
      <c r="B12" s="21">
        <f>门店与人力!B6</f>
        <v/>
      </c>
      <c r="C12" s="21">
        <f>门店与人力!C6</f>
        <v/>
      </c>
      <c r="D12" s="21">
        <f>门店与人力!D6</f>
        <v/>
      </c>
      <c r="E12" s="21">
        <f>门店与人力!E6</f>
        <v/>
      </c>
      <c r="F12" s="21">
        <f>门店与人力!F6</f>
        <v/>
      </c>
      <c r="G12" s="21">
        <f>门店与人力!G6</f>
        <v/>
      </c>
    </row>
    <row r="13">
      <c r="A13" s="13" t="inlineStr">
        <is>
          <t>人均营收 Rev/Emp (kEUR)</t>
        </is>
      </c>
      <c r="B13" s="21">
        <f>门店与人力!B11</f>
        <v/>
      </c>
      <c r="C13" s="21">
        <f>门店与人力!C11</f>
        <v/>
      </c>
      <c r="D13" s="21">
        <f>门店与人力!D11</f>
        <v/>
      </c>
      <c r="E13" s="21">
        <f>门店与人力!E11</f>
        <v/>
      </c>
      <c r="F13" s="21">
        <f>门店与人力!F11</f>
        <v/>
      </c>
      <c r="G13" s="21">
        <f>门店与人力!G11</f>
        <v/>
      </c>
    </row>
    <row r="14">
      <c r="A14" s="13" t="inlineStr">
        <is>
          <t>工坊数 Ateliers</t>
        </is>
      </c>
      <c r="B14" s="19">
        <f>门店与人力!B13</f>
        <v/>
      </c>
      <c r="C14" s="19">
        <f>门店与人力!C13</f>
        <v/>
      </c>
      <c r="D14" s="19">
        <f>门店与人力!D13</f>
        <v/>
      </c>
      <c r="E14" s="19">
        <f>门店与人力!E13</f>
        <v/>
      </c>
      <c r="F14" s="19">
        <f>门店与人力!F13</f>
        <v/>
      </c>
      <c r="G14" s="19">
        <f>门店与人力!G13</f>
        <v/>
      </c>
    </row>
    <row r="15">
      <c r="A15" s="13" t="inlineStr">
        <is>
          <t>5Y Revenue CAGR (%)</t>
        </is>
      </c>
      <c r="G15" s="16">
        <f>((G4/利润表预测!B4)^(1/5)-1)*100</f>
        <v/>
      </c>
    </row>
    <row r="16">
      <c r="A16" s="13" t="inlineStr">
        <is>
          <t>5Y Net Income CAGR (%)</t>
        </is>
      </c>
      <c r="G16" s="16">
        <f>((G6/利润表预测!B16)^(1/5)-1)*100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>
      <c r="A1" s="1" t="inlineStr">
        <is>
          <t>Hermès 情景分析: 2030年关键指标</t>
        </is>
      </c>
    </row>
    <row r="2">
      <c r="A2" s="2" t="inlineStr">
        <is>
          <t>蓝色=手工假设; 基于核心假设的不同情景推演</t>
        </is>
      </c>
    </row>
    <row r="3">
      <c r="A3" s="3" t="inlineStr">
        <is>
          <t>指标</t>
        </is>
      </c>
      <c r="B3" s="3" t="inlineStr">
        <is>
          <t>保守情景
(增速-2pp)</t>
        </is>
      </c>
      <c r="C3" s="3" t="inlineStr">
        <is>
          <t>基准情景</t>
        </is>
      </c>
      <c r="D3" s="3" t="inlineStr">
        <is>
          <t>乐观情景
(增速+2pp)</t>
        </is>
      </c>
    </row>
    <row r="4">
      <c r="A4" s="13" t="inlineStr">
        <is>
          <t>Revenue CAGR 2026-30 (%)</t>
        </is>
      </c>
      <c r="B4" s="6" t="n">
        <v>3</v>
      </c>
      <c r="C4" s="16" t="n">
        <v>4.8</v>
      </c>
      <c r="D4" s="6" t="n">
        <v>6.5</v>
      </c>
    </row>
    <row r="5">
      <c r="A5" s="13" t="inlineStr">
        <is>
          <t>2030E Revenue (EUR m)</t>
        </is>
      </c>
      <c r="B5" s="11" t="n">
        <v>18600</v>
      </c>
      <c r="C5" s="23" t="n">
        <v>20300</v>
      </c>
      <c r="D5" s="11" t="n">
        <v>22100</v>
      </c>
    </row>
    <row r="6">
      <c r="A6" s="13" t="inlineStr">
        <is>
          <t>2030E Op. Margin (%)</t>
        </is>
      </c>
      <c r="B6" s="6" t="n">
        <v>38</v>
      </c>
      <c r="C6" s="16" t="n">
        <v>40.5</v>
      </c>
      <c r="D6" s="6" t="n">
        <v>42</v>
      </c>
    </row>
    <row r="7">
      <c r="A7" s="13" t="inlineStr">
        <is>
          <t>2030E Net Income (EUR m)</t>
        </is>
      </c>
      <c r="B7" s="11" t="n">
        <v>4900</v>
      </c>
      <c r="C7" s="23" t="n">
        <v>5700</v>
      </c>
      <c r="D7" s="11" t="n">
        <v>6600</v>
      </c>
    </row>
    <row r="8">
      <c r="A8" s="13" t="inlineStr">
        <is>
          <t>2030E Stores</t>
        </is>
      </c>
      <c r="B8" s="11" t="n">
        <v>310</v>
      </c>
      <c r="C8" s="23" t="n">
        <v>319</v>
      </c>
      <c r="D8" s="11" t="n">
        <v>330</v>
      </c>
    </row>
    <row r="9">
      <c r="A9" s="13" t="inlineStr">
        <is>
          <t>2030E Employees</t>
        </is>
      </c>
      <c r="B9" s="11" t="n">
        <v>32000</v>
      </c>
      <c r="C9" s="23" t="n">
        <v>33800</v>
      </c>
      <c r="D9" s="11" t="n">
        <v>35500</v>
      </c>
    </row>
    <row r="10">
      <c r="A10" s="13" t="inlineStr">
        <is>
          <t>2030E EPS (EUR)</t>
        </is>
      </c>
      <c r="B10" s="6" t="n">
        <v>58.7</v>
      </c>
      <c r="C10" s="16" t="n">
        <v>68.3</v>
      </c>
      <c r="D10" s="6" t="n">
        <v>79</v>
      </c>
    </row>
    <row r="11">
      <c r="A11" s="13" t="inlineStr">
        <is>
          <t>2030E Implied Mkt Cap (EUR bn)</t>
        </is>
      </c>
      <c r="B11" s="11" t="n">
        <v>176</v>
      </c>
      <c r="C11" s="23" t="n">
        <v>260</v>
      </c>
      <c r="D11" s="11" t="n">
        <v>355</v>
      </c>
    </row>
    <row r="12">
      <c r="A12" s="13" t="inlineStr">
        <is>
          <t>Implied P/E (x)</t>
        </is>
      </c>
      <c r="B12" s="6" t="n">
        <v>30</v>
      </c>
      <c r="C12" s="16" t="n">
        <v>38</v>
      </c>
      <c r="D12" s="6" t="n">
        <v>45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2026-06-22T08:06:03Z</dcterms:created>
  <dcterms:modified xmlns:dcterms="http://purl.org/dc/terms/" xmlns:xsi="http://www.w3.org/2001/XMLSchema-instance" xsi:type="dcterms:W3CDTF">2026-06-22T08:06:03Z</dcterms:modified>
</cp:coreProperties>
</file>